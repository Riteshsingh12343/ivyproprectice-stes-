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19425" windowHeight="10305" activeTab="3"/>
  </bookViews>
  <sheets>
    <sheet name="Q1" sheetId="1" r:id="rId1"/>
    <sheet name="Q2" sheetId="2" r:id="rId2"/>
    <sheet name="Q3" sheetId="8" r:id="rId3"/>
    <sheet name="Q4" sheetId="9" r:id="rId4"/>
  </sheets>
  <definedNames>
    <definedName name="_xlnm._FilterDatabase" localSheetId="2" hidden="1">'Q3'!$A$3:$H$152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/>
  <c r="B20"/>
  <c r="B11" i="1"/>
  <c r="G9"/>
  <c r="F9"/>
  <c r="E9"/>
  <c r="D9"/>
  <c r="C9"/>
  <c r="B9"/>
  <c r="D16" i="2"/>
  <c r="D18"/>
  <c r="D17"/>
  <c r="D15"/>
  <c r="D14"/>
  <c r="D12"/>
  <c r="D13"/>
  <c r="D11"/>
  <c r="D10"/>
  <c r="D9"/>
  <c r="Q7" i="8"/>
  <c r="Q6"/>
  <c r="Q5"/>
  <c r="Q4"/>
  <c r="N3"/>
  <c r="M4" i="9"/>
  <c r="N4"/>
  <c r="O4"/>
</calcChain>
</file>

<file path=xl/sharedStrings.xml><?xml version="1.0" encoding="utf-8"?>
<sst xmlns="http://schemas.openxmlformats.org/spreadsheetml/2006/main" count="813" uniqueCount="319">
  <si>
    <t>Children in Class</t>
  </si>
  <si>
    <t>1A</t>
  </si>
  <si>
    <t>1B</t>
  </si>
  <si>
    <t>1C</t>
  </si>
  <si>
    <t>2A</t>
  </si>
  <si>
    <t>2B</t>
  </si>
  <si>
    <t>2C</t>
  </si>
  <si>
    <t>Chocolate per child</t>
  </si>
  <si>
    <t>Chocolate Needed</t>
  </si>
  <si>
    <t>Class</t>
  </si>
  <si>
    <t>Harmony Haven Festival</t>
  </si>
  <si>
    <t>Euphoria Echoes Live</t>
  </si>
  <si>
    <t>Rhythmic Reverie Showcase</t>
  </si>
  <si>
    <t>Sonic Serenity Spectacle</t>
  </si>
  <si>
    <t>Melodic Mirage Concert Series</t>
  </si>
  <si>
    <t>Stellar Soundscape Extravaganza</t>
  </si>
  <si>
    <t>Electric Odyssey Music Festival</t>
  </si>
  <si>
    <t>Epic Harmonies Carnival</t>
  </si>
  <si>
    <t>Celestial Rhythms Gala</t>
  </si>
  <si>
    <t>Global Groove Summit</t>
  </si>
  <si>
    <t>Revenue</t>
  </si>
  <si>
    <t>Total</t>
  </si>
  <si>
    <t>Concert</t>
  </si>
  <si>
    <t>Adult Ticket Price</t>
  </si>
  <si>
    <t>Child Ticket Price</t>
  </si>
  <si>
    <t xml:space="preserve"> Car Make </t>
  </si>
  <si>
    <t xml:space="preserve"> Toyota   </t>
  </si>
  <si>
    <t xml:space="preserve"> Ford     </t>
  </si>
  <si>
    <t xml:space="preserve"> Honda    </t>
  </si>
  <si>
    <t xml:space="preserve"> Chevrolet</t>
  </si>
  <si>
    <t xml:space="preserve"> Nissan   </t>
  </si>
  <si>
    <t xml:space="preserve"> BMW      </t>
  </si>
  <si>
    <t xml:space="preserve"> Hyundai  </t>
  </si>
  <si>
    <t xml:space="preserve"> Audi     </t>
  </si>
  <si>
    <t xml:space="preserve"> GMC      </t>
  </si>
  <si>
    <t xml:space="preserve"> Subaru   </t>
  </si>
  <si>
    <t xml:space="preserve"> Mazda    </t>
  </si>
  <si>
    <t xml:space="preserve"> Kia      </t>
  </si>
  <si>
    <t xml:space="preserve"> Mercedes </t>
  </si>
  <si>
    <t xml:space="preserve"> Jeep     </t>
  </si>
  <si>
    <t xml:space="preserve"> Volkswagen</t>
  </si>
  <si>
    <t xml:space="preserve"> Volvo    </t>
  </si>
  <si>
    <t xml:space="preserve"> Volkswagen </t>
  </si>
  <si>
    <t xml:space="preserve"> Lexus    </t>
  </si>
  <si>
    <t xml:space="preserve"> Genesis  </t>
  </si>
  <si>
    <t xml:space="preserve"> Acura    </t>
  </si>
  <si>
    <t xml:space="preserve"> Infiniti </t>
  </si>
  <si>
    <t xml:space="preserve"> Car Model   </t>
  </si>
  <si>
    <t xml:space="preserve"> Camry       </t>
  </si>
  <si>
    <t xml:space="preserve"> F-150       </t>
  </si>
  <si>
    <t xml:space="preserve"> Civic       </t>
  </si>
  <si>
    <t xml:space="preserve"> Tahoe       </t>
  </si>
  <si>
    <t xml:space="preserve"> Rogue       </t>
  </si>
  <si>
    <t xml:space="preserve"> X5          </t>
  </si>
  <si>
    <t xml:space="preserve"> Sonata      </t>
  </si>
  <si>
    <t xml:space="preserve"> Mustang     </t>
  </si>
  <si>
    <t xml:space="preserve"> RAV4        </t>
  </si>
  <si>
    <t xml:space="preserve"> A4          </t>
  </si>
  <si>
    <t xml:space="preserve"> Sierra      </t>
  </si>
  <si>
    <t xml:space="preserve"> CR-V        </t>
  </si>
  <si>
    <t xml:space="preserve"> Outback     </t>
  </si>
  <si>
    <t xml:space="preserve"> Camaro      </t>
  </si>
  <si>
    <t xml:space="preserve"> Escape      </t>
  </si>
  <si>
    <t xml:space="preserve"> CX-5        </t>
  </si>
  <si>
    <t xml:space="preserve"> Sorento     </t>
  </si>
  <si>
    <t xml:space="preserve"> C-Class     </t>
  </si>
  <si>
    <t xml:space="preserve"> Wrangler    </t>
  </si>
  <si>
    <t xml:space="preserve"> Jetta      </t>
  </si>
  <si>
    <t xml:space="preserve"> XC60        </t>
  </si>
  <si>
    <t xml:space="preserve"> Forester    </t>
  </si>
  <si>
    <t xml:space="preserve"> Highlander  </t>
  </si>
  <si>
    <t xml:space="preserve"> Explorer    </t>
  </si>
  <si>
    <t xml:space="preserve"> Corvette    </t>
  </si>
  <si>
    <t xml:space="preserve"> Expedition  </t>
  </si>
  <si>
    <t xml:space="preserve"> Tucson      </t>
  </si>
  <si>
    <t xml:space="preserve"> Yukon       </t>
  </si>
  <si>
    <t xml:space="preserve"> Q5          </t>
  </si>
  <si>
    <t xml:space="preserve"> Telluride   </t>
  </si>
  <si>
    <t xml:space="preserve"> GLC-Class   </t>
  </si>
  <si>
    <t xml:space="preserve"> Grand Cherokee </t>
  </si>
  <si>
    <t xml:space="preserve"> Taos       </t>
  </si>
  <si>
    <t xml:space="preserve"> Pathfinder  </t>
  </si>
  <si>
    <t xml:space="preserve"> Crosstrek  </t>
  </si>
  <si>
    <t xml:space="preserve"> 4Runner     </t>
  </si>
  <si>
    <t xml:space="preserve"> Edge        </t>
  </si>
  <si>
    <t xml:space="preserve"> Equinox     </t>
  </si>
  <si>
    <t xml:space="preserve"> HR-V        </t>
  </si>
  <si>
    <t xml:space="preserve"> S-Class     </t>
  </si>
  <si>
    <t xml:space="preserve"> Compass     </t>
  </si>
  <si>
    <t xml:space="preserve"> Atlas      </t>
  </si>
  <si>
    <t xml:space="preserve"> Sentra      </t>
  </si>
  <si>
    <t xml:space="preserve"> Legacy      </t>
  </si>
  <si>
    <t xml:space="preserve"> RX          </t>
  </si>
  <si>
    <t xml:space="preserve"> 5 Series    </t>
  </si>
  <si>
    <t xml:space="preserve"> Mazda6      </t>
  </si>
  <si>
    <t xml:space="preserve"> Tacoma      </t>
  </si>
  <si>
    <t xml:space="preserve"> Q7          </t>
  </si>
  <si>
    <t xml:space="preserve"> Bronco      </t>
  </si>
  <si>
    <t xml:space="preserve"> Odyssey     </t>
  </si>
  <si>
    <t xml:space="preserve"> Sportage    </t>
  </si>
  <si>
    <t xml:space="preserve"> Acadia      </t>
  </si>
  <si>
    <t xml:space="preserve"> NX          </t>
  </si>
  <si>
    <t xml:space="preserve"> Sienna      </t>
  </si>
  <si>
    <t xml:space="preserve"> Ascent      </t>
  </si>
  <si>
    <t xml:space="preserve"> Versa       </t>
  </si>
  <si>
    <t xml:space="preserve"> Trax        </t>
  </si>
  <si>
    <t xml:space="preserve"> IS          </t>
  </si>
  <si>
    <t xml:space="preserve"> Ranger      </t>
  </si>
  <si>
    <t xml:space="preserve"> Tundra      </t>
  </si>
  <si>
    <t xml:space="preserve"> Carnival    </t>
  </si>
  <si>
    <t xml:space="preserve"> Frontier    </t>
  </si>
  <si>
    <t xml:space="preserve"> Venue       </t>
  </si>
  <si>
    <t xml:space="preserve"> GV80        </t>
  </si>
  <si>
    <t xml:space="preserve"> Fit         </t>
  </si>
  <si>
    <t xml:space="preserve"> Maverick    </t>
  </si>
  <si>
    <t xml:space="preserve"> Soul        </t>
  </si>
  <si>
    <t xml:space="preserve"> A5          </t>
  </si>
  <si>
    <t xml:space="preserve"> Rogue Sport </t>
  </si>
  <si>
    <t xml:space="preserve"> XC40        </t>
  </si>
  <si>
    <t xml:space="preserve"> MX-5 Miata  </t>
  </si>
  <si>
    <t xml:space="preserve"> ES          </t>
  </si>
  <si>
    <t xml:space="preserve"> Santa Fe    </t>
  </si>
  <si>
    <t xml:space="preserve"> RDX         </t>
  </si>
  <si>
    <t xml:space="preserve"> QX50        </t>
  </si>
  <si>
    <t xml:space="preserve"> MDX         </t>
  </si>
  <si>
    <t xml:space="preserve"> Year </t>
  </si>
  <si>
    <t xml:space="preserve"> Top Speed (mph) </t>
  </si>
  <si>
    <t xml:space="preserve"> Horsepower </t>
  </si>
  <si>
    <t xml:space="preserve"> Price ($) </t>
  </si>
  <si>
    <t xml:space="preserve"> Customer Ratings </t>
  </si>
  <si>
    <t xml:space="preserve"> 4.5/5   </t>
  </si>
  <si>
    <t xml:space="preserve"> 4.8/5            </t>
  </si>
  <si>
    <t xml:space="preserve"> 4.6/5            </t>
  </si>
  <si>
    <t xml:space="preserve"> 4.7/5            </t>
  </si>
  <si>
    <t xml:space="preserve"> 4.9/5            </t>
  </si>
  <si>
    <t xml:space="preserve"> 4.5/5            </t>
  </si>
  <si>
    <t>3.4/5</t>
  </si>
  <si>
    <t xml:space="preserve"> Sales Figures (Units Sold) </t>
  </si>
  <si>
    <t>Find out the 3rd highest sales.</t>
  </si>
  <si>
    <t xml:space="preserve">On Children's Day, you want to distribute chocolates to each class. Below, </t>
  </si>
  <si>
    <t>you'll find the total number of children. You need to give 3 chocolates to each child in the class and an extra 2 chocolates for the class teacher.</t>
  </si>
  <si>
    <t>How many chocoloates should be Distributed</t>
  </si>
  <si>
    <t>Total Chocolate</t>
  </si>
  <si>
    <t>A company sold tickets with the following prices:</t>
  </si>
  <si>
    <t>Age group</t>
  </si>
  <si>
    <t>0-19</t>
  </si>
  <si>
    <t>Number of residents</t>
  </si>
  <si>
    <t>25-49</t>
  </si>
  <si>
    <t>50-75+</t>
  </si>
  <si>
    <t>City</t>
  </si>
  <si>
    <t>Region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</si>
  <si>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</si>
  <si>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</si>
  <si>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</si>
  <si>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</si>
  <si>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</si>
  <si>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</si>
  <si>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</si>
  <si>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</si>
  <si>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</si>
  <si>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</si>
  <si>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</si>
  <si>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</si>
  <si>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</si>
  <si>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</si>
  <si>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</si>
  <si>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</si>
  <si>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</si>
  <si>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</si>
  <si>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</si>
  <si>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</si>
  <si>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</si>
  <si>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</si>
  <si>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</si>
  <si>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</si>
  <si>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</si>
  <si>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</si>
  <si>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</si>
  <si>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</si>
  <si>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</si>
  <si>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</si>
  <si>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</si>
  <si>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</si>
  <si>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</si>
  <si>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</si>
  <si>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</si>
  <si>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</si>
  <si>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</si>
  <si>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</si>
  <si>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</si>
  <si>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</si>
  <si>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</si>
  <si>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</si>
  <si>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</si>
  <si>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</si>
  <si>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</si>
  <si>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</si>
  <si>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</si>
  <si>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</si>
  <si>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</si>
  <si>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</si>
  <si>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</si>
  <si>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</si>
  <si>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</si>
  <si>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</si>
  <si>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</si>
  <si>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</si>
  <si>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</si>
  <si>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</si>
  <si>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</si>
  <si>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</si>
  <si>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</si>
  <si>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</si>
  <si>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</si>
  <si>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</si>
  <si>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</si>
  <si>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</si>
  <si>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</si>
  <si>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</si>
  <si>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</si>
  <si>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</si>
  <si>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</si>
  <si>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</si>
  <si>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</si>
  <si>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</si>
  <si>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</si>
  <si>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</si>
  <si>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</si>
  <si>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</si>
  <si>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</si>
  <si>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</si>
  <si>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</si>
  <si>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</si>
  <si>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</si>
  <si>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</si>
  <si>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</si>
  <si>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</si>
  <si>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</si>
  <si>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</si>
  <si>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</si>
  <si>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</si>
  <si>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</si>
  <si>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</si>
  <si>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</si>
  <si>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</si>
  <si>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</si>
  <si>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</si>
  <si>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</si>
  <si>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</si>
  <si>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</si>
  <si>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</si>
  <si>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</si>
  <si>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</si>
  <si>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</si>
  <si>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</si>
  <si>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</si>
  <si>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</si>
  <si>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</si>
  <si>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</si>
  <si>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</si>
  <si>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</si>
  <si>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</si>
  <si>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</si>
  <si>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</si>
  <si>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</si>
  <si>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</si>
  <si>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</si>
  <si>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</si>
  <si>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</si>
  <si>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</si>
  <si>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</si>
  <si>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</si>
  <si>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</si>
  <si>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</si>
  <si>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</si>
  <si>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</si>
  <si>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</si>
  <si>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</si>
  <si>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</si>
  <si>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</si>
  <si>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</si>
  <si>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</si>
  <si>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</si>
  <si>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</si>
  <si>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</si>
  <si>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</si>
  <si>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</si>
  <si>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</si>
  <si>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</si>
  <si>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</si>
  <si>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</si>
  <si>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</si>
  <si>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</si>
  <si>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</si>
  <si>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</si>
  <si>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</si>
  <si>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</si>
  <si>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</si>
  <si>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</si>
  <si>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</si>
  <si>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</si>
  <si>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</si>
  <si>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</si>
  <si>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</si>
  <si>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</si>
  <si>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</si>
  <si>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</si>
  <si>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</si>
  <si>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</si>
  <si>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Kolkata</t>
  </si>
  <si>
    <t>Find the number of residents for each of the age groups based on the table using a single formula:</t>
  </si>
  <si>
    <t>What is the total revenue?</t>
  </si>
  <si>
    <t>How many different car models does the company have?</t>
  </si>
  <si>
    <t>How many customers provided ratings for the cars?</t>
  </si>
  <si>
    <t xml:space="preserve">What is the average rating? </t>
  </si>
  <si>
    <t>No. of Adult tickets</t>
  </si>
  <si>
    <t>No. of Child Tickets</t>
  </si>
  <si>
    <t>How many total tickets were sold?</t>
  </si>
  <si>
    <t>What is the total revenue generated?</t>
  </si>
</sst>
</file>

<file path=xl/styles.xml><?xml version="1.0" encoding="utf-8"?>
<styleSheet xmlns="http://schemas.openxmlformats.org/spreadsheetml/2006/main">
  <numFmts count="1">
    <numFmt numFmtId="164" formatCode="[$$-C09]#,##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C0C0C0"/>
      </patternFill>
    </fill>
    <fill>
      <patternFill patternType="solid">
        <fgColor theme="4" tint="0.59999389629810485"/>
        <bgColor rgb="FFBFBFB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/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2" xfId="0" applyFont="1" applyBorder="1" applyAlignment="1">
      <alignment horizontal="center"/>
    </xf>
    <xf numFmtId="0" fontId="4" fillId="4" borderId="2" xfId="0" applyFont="1" applyFill="1" applyBorder="1"/>
    <xf numFmtId="3" fontId="5" fillId="5" borderId="2" xfId="0" applyNumberFormat="1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3" fillId="0" borderId="0" xfId="0" applyFont="1" applyAlignment="1"/>
    <xf numFmtId="0" fontId="6" fillId="7" borderId="3" xfId="0" applyFont="1" applyFill="1" applyBorder="1" applyAlignment="1">
      <alignment horizontal="centerContinuous"/>
    </xf>
    <xf numFmtId="0" fontId="6" fillId="7" borderId="4" xfId="0" applyFont="1" applyFill="1" applyBorder="1" applyAlignment="1">
      <alignment horizontal="centerContinuous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zoomScale="115" zoomScaleNormal="115" workbookViewId="0">
      <selection activeCell="B12" sqref="B12"/>
    </sheetView>
  </sheetViews>
  <sheetFormatPr defaultRowHeight="15"/>
  <cols>
    <col min="1" max="1" width="18.28515625" bestFit="1" customWidth="1"/>
    <col min="5" max="5" width="9.140625" customWidth="1"/>
  </cols>
  <sheetData>
    <row r="1" spans="1:7">
      <c r="A1" t="s">
        <v>139</v>
      </c>
    </row>
    <row r="2" spans="1:7">
      <c r="A2" t="s">
        <v>140</v>
      </c>
    </row>
    <row r="3" spans="1:7">
      <c r="A3" t="s">
        <v>141</v>
      </c>
    </row>
    <row r="5" spans="1:7">
      <c r="A5" t="s">
        <v>7</v>
      </c>
      <c r="B5" s="1">
        <v>3</v>
      </c>
    </row>
    <row r="7" spans="1:7">
      <c r="A7" s="2" t="s">
        <v>9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</row>
    <row r="8" spans="1:7">
      <c r="A8" s="2" t="s">
        <v>0</v>
      </c>
      <c r="B8" s="1">
        <v>24</v>
      </c>
      <c r="C8" s="1">
        <v>22</v>
      </c>
      <c r="D8" s="1">
        <v>19</v>
      </c>
      <c r="E8" s="1">
        <v>27</v>
      </c>
      <c r="F8" s="1">
        <v>36</v>
      </c>
      <c r="G8" s="1">
        <v>42</v>
      </c>
    </row>
    <row r="9" spans="1:7">
      <c r="A9" s="2" t="s">
        <v>8</v>
      </c>
      <c r="B9" s="2">
        <f>B8*3+2</f>
        <v>74</v>
      </c>
      <c r="C9" s="2">
        <f>C8*3+2</f>
        <v>68</v>
      </c>
      <c r="D9" s="2">
        <f>D8*3+2</f>
        <v>59</v>
      </c>
      <c r="E9" s="2">
        <f>E8*3+2</f>
        <v>83</v>
      </c>
      <c r="F9" s="2">
        <f>F8*3+2</f>
        <v>110</v>
      </c>
      <c r="G9" s="2">
        <f>G8*3+2</f>
        <v>128</v>
      </c>
    </row>
    <row r="11" spans="1:7">
      <c r="A11" t="s">
        <v>142</v>
      </c>
      <c r="B11" s="2">
        <f>SUM(B9:C9:D9:E9:F9:G9)</f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activeCell="C21" sqref="C21"/>
    </sheetView>
  </sheetViews>
  <sheetFormatPr defaultRowHeight="15"/>
  <cols>
    <col min="1" max="1" width="30.28515625" bestFit="1" customWidth="1"/>
    <col min="2" max="2" width="17.28515625" customWidth="1"/>
    <col min="3" max="3" width="19.42578125" customWidth="1"/>
  </cols>
  <sheetData>
    <row r="1" spans="1:4">
      <c r="A1" t="s">
        <v>143</v>
      </c>
    </row>
    <row r="2" spans="1:4">
      <c r="A2" t="s">
        <v>23</v>
      </c>
      <c r="B2" s="4">
        <v>20</v>
      </c>
    </row>
    <row r="3" spans="1:4">
      <c r="A3" t="s">
        <v>24</v>
      </c>
      <c r="B3" s="4">
        <v>5</v>
      </c>
    </row>
    <row r="4" spans="1:4">
      <c r="A4" t="s">
        <v>317</v>
      </c>
      <c r="B4" s="4"/>
    </row>
    <row r="5" spans="1:4">
      <c r="A5" t="s">
        <v>318</v>
      </c>
      <c r="B5" s="4"/>
    </row>
    <row r="6" spans="1:4">
      <c r="B6" s="4"/>
    </row>
    <row r="8" spans="1:4" ht="28.5" customHeight="1">
      <c r="A8" s="5" t="s">
        <v>22</v>
      </c>
      <c r="B8" s="5" t="s">
        <v>315</v>
      </c>
      <c r="C8" s="5" t="s">
        <v>316</v>
      </c>
      <c r="D8" s="5" t="s">
        <v>20</v>
      </c>
    </row>
    <row r="9" spans="1:4">
      <c r="A9" s="2" t="s">
        <v>10</v>
      </c>
      <c r="B9" s="2">
        <v>238</v>
      </c>
      <c r="C9" s="2">
        <v>426</v>
      </c>
      <c r="D9" s="2">
        <f>SUM((B9:B18 * 20) + (C9:C18 * 5))</f>
        <v>6890</v>
      </c>
    </row>
    <row r="10" spans="1:4">
      <c r="A10" s="2" t="s">
        <v>11</v>
      </c>
      <c r="B10" s="2">
        <v>240</v>
      </c>
      <c r="C10" s="2">
        <v>379</v>
      </c>
      <c r="D10" s="2">
        <f>SUM((B10 * 20) + (C10 * 5))</f>
        <v>6695</v>
      </c>
    </row>
    <row r="11" spans="1:4">
      <c r="A11" s="2" t="s">
        <v>12</v>
      </c>
      <c r="B11" s="2">
        <v>250</v>
      </c>
      <c r="C11" s="2">
        <v>305</v>
      </c>
      <c r="D11" s="2">
        <f>SUM((B11 * 20) + (C11 * 5))</f>
        <v>6525</v>
      </c>
    </row>
    <row r="12" spans="1:4">
      <c r="A12" s="2" t="s">
        <v>13</v>
      </c>
      <c r="B12" s="2">
        <v>421</v>
      </c>
      <c r="C12" s="2">
        <v>380</v>
      </c>
      <c r="D12" s="2">
        <f>SUM((B12 * 20) + (C12 * 5))</f>
        <v>10320</v>
      </c>
    </row>
    <row r="13" spans="1:4">
      <c r="A13" s="2" t="s">
        <v>14</v>
      </c>
      <c r="B13" s="2">
        <v>410</v>
      </c>
      <c r="C13" s="2">
        <v>438</v>
      </c>
      <c r="D13" s="2">
        <f>SUM((B13 * 20) + (C13 * 5))</f>
        <v>10390</v>
      </c>
    </row>
    <row r="14" spans="1:4">
      <c r="A14" s="2" t="s">
        <v>15</v>
      </c>
      <c r="B14" s="2">
        <v>329</v>
      </c>
      <c r="C14" s="2">
        <v>230</v>
      </c>
      <c r="D14" s="2">
        <f>SUM((B14 * 20) + (C14 * 5))</f>
        <v>7730</v>
      </c>
    </row>
    <row r="15" spans="1:4">
      <c r="A15" s="2" t="s">
        <v>16</v>
      </c>
      <c r="B15" s="2">
        <v>351</v>
      </c>
      <c r="C15" s="2">
        <v>446</v>
      </c>
      <c r="D15" s="2">
        <f>SUM((B15 * 20) + (C15 * 5))</f>
        <v>9250</v>
      </c>
    </row>
    <row r="16" spans="1:4">
      <c r="A16" s="2" t="s">
        <v>17</v>
      </c>
      <c r="B16" s="2">
        <v>461</v>
      </c>
      <c r="C16" s="2">
        <v>474</v>
      </c>
      <c r="D16" s="2">
        <f>SUM((B16* 20) + (C16 * 5))</f>
        <v>11590</v>
      </c>
    </row>
    <row r="17" spans="1:4">
      <c r="A17" s="2" t="s">
        <v>18</v>
      </c>
      <c r="B17" s="2">
        <v>469</v>
      </c>
      <c r="C17" s="2">
        <v>202</v>
      </c>
      <c r="D17" s="2">
        <f>SUM((B17 * 20) + (C17 * 5))</f>
        <v>10390</v>
      </c>
    </row>
    <row r="18" spans="1:4">
      <c r="A18" s="2" t="s">
        <v>19</v>
      </c>
      <c r="B18" s="2">
        <v>252</v>
      </c>
      <c r="C18" s="2">
        <v>429</v>
      </c>
      <c r="D18" s="2">
        <f>SUM((B18 * 20) + (C18 * 5))</f>
        <v>7185</v>
      </c>
    </row>
    <row r="20" spans="1:4">
      <c r="A20" s="3" t="s">
        <v>21</v>
      </c>
      <c r="B20" s="2">
        <f>SUM(B9:B18)</f>
        <v>3421</v>
      </c>
      <c r="C20" s="2">
        <f>SUM(C9:C18)</f>
        <v>3709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Q152"/>
  <sheetViews>
    <sheetView topLeftCell="B1" workbookViewId="0">
      <selection activeCell="Q8" sqref="Q8"/>
    </sheetView>
  </sheetViews>
  <sheetFormatPr defaultRowHeight="15"/>
  <cols>
    <col min="1" max="1" width="13.5703125" customWidth="1"/>
    <col min="4" max="4" width="17.28515625" bestFit="1" customWidth="1"/>
    <col min="7" max="7" width="17" customWidth="1"/>
    <col min="8" max="8" width="24.42578125" bestFit="1" customWidth="1"/>
    <col min="14" max="14" width="11" bestFit="1" customWidth="1"/>
  </cols>
  <sheetData>
    <row r="3" spans="1:17">
      <c r="A3" s="6" t="s">
        <v>25</v>
      </c>
      <c r="B3" s="6" t="s">
        <v>47</v>
      </c>
      <c r="C3" s="6" t="s">
        <v>125</v>
      </c>
      <c r="D3" s="6" t="s">
        <v>126</v>
      </c>
      <c r="E3" s="6" t="s">
        <v>127</v>
      </c>
      <c r="F3" s="6" t="s">
        <v>128</v>
      </c>
      <c r="G3" s="6" t="s">
        <v>129</v>
      </c>
      <c r="H3" s="6" t="s">
        <v>137</v>
      </c>
      <c r="J3">
        <v>1</v>
      </c>
      <c r="K3" t="s">
        <v>311</v>
      </c>
      <c r="N3">
        <f>SUMPRODUCT(F4:F152, H4:H152)</f>
        <v>8331926000</v>
      </c>
    </row>
    <row r="4" spans="1:17">
      <c r="A4" s="2" t="s">
        <v>26</v>
      </c>
      <c r="B4" s="2" t="s">
        <v>48</v>
      </c>
      <c r="C4" s="2">
        <v>2022</v>
      </c>
      <c r="D4" s="2">
        <v>135</v>
      </c>
      <c r="E4" s="2">
        <v>203</v>
      </c>
      <c r="F4" s="7">
        <v>28500</v>
      </c>
      <c r="G4" s="2" t="s">
        <v>130</v>
      </c>
      <c r="H4" s="7">
        <v>1500</v>
      </c>
      <c r="J4" s="8">
        <v>2</v>
      </c>
      <c r="K4" t="s">
        <v>312</v>
      </c>
      <c r="Q4">
        <f>COUNTA(B4:B152)</f>
        <v>149</v>
      </c>
    </row>
    <row r="5" spans="1:17">
      <c r="A5" s="2" t="s">
        <v>27</v>
      </c>
      <c r="B5" s="2" t="s">
        <v>49</v>
      </c>
      <c r="C5" s="2">
        <v>2023</v>
      </c>
      <c r="D5" s="2">
        <v>145</v>
      </c>
      <c r="E5" s="2">
        <v>375</v>
      </c>
      <c r="F5" s="7">
        <v>45900</v>
      </c>
      <c r="G5" s="2" t="s">
        <v>131</v>
      </c>
      <c r="H5" s="7">
        <v>2200</v>
      </c>
      <c r="J5" s="8">
        <v>3</v>
      </c>
      <c r="K5" t="s">
        <v>313</v>
      </c>
      <c r="Q5">
        <f>COUNTA(G4:G152)</f>
        <v>140</v>
      </c>
    </row>
    <row r="6" spans="1:17">
      <c r="A6" s="2" t="s">
        <v>28</v>
      </c>
      <c r="B6" s="2" t="s">
        <v>50</v>
      </c>
      <c r="C6" s="2">
        <v>2023</v>
      </c>
      <c r="D6" s="2">
        <v>120</v>
      </c>
      <c r="E6" s="2">
        <v>158</v>
      </c>
      <c r="F6" s="7">
        <v>22950</v>
      </c>
      <c r="G6" s="2" t="s">
        <v>132</v>
      </c>
      <c r="H6" s="7">
        <v>2800</v>
      </c>
      <c r="J6" s="8">
        <v>4</v>
      </c>
      <c r="K6" t="s">
        <v>314</v>
      </c>
      <c r="Q6" t="e">
        <f>AVERAGE(G4:G152)</f>
        <v>#DIV/0!</v>
      </c>
    </row>
    <row r="7" spans="1:17">
      <c r="A7" s="2" t="s">
        <v>29</v>
      </c>
      <c r="B7" s="2" t="s">
        <v>51</v>
      </c>
      <c r="C7" s="2">
        <v>2023</v>
      </c>
      <c r="D7" s="2">
        <v>130</v>
      </c>
      <c r="E7" s="2">
        <v>355</v>
      </c>
      <c r="F7" s="7">
        <v>53250</v>
      </c>
      <c r="G7" s="2" t="s">
        <v>133</v>
      </c>
      <c r="H7" s="7">
        <v>1000</v>
      </c>
      <c r="J7" s="8">
        <v>5</v>
      </c>
      <c r="K7" t="s">
        <v>138</v>
      </c>
      <c r="Q7">
        <f>LARGE(H4:H152, 3)</f>
        <v>2600</v>
      </c>
    </row>
    <row r="8" spans="1:17">
      <c r="A8" s="2" t="s">
        <v>30</v>
      </c>
      <c r="B8" s="2" t="s">
        <v>52</v>
      </c>
      <c r="C8" s="2">
        <v>2023</v>
      </c>
      <c r="D8" s="2">
        <v>115</v>
      </c>
      <c r="E8" s="2">
        <v>181</v>
      </c>
      <c r="F8" s="7">
        <v>27850</v>
      </c>
      <c r="G8" s="2" t="s">
        <v>132</v>
      </c>
      <c r="H8" s="7">
        <v>2100</v>
      </c>
      <c r="J8" s="8"/>
    </row>
    <row r="9" spans="1:17">
      <c r="A9" s="2" t="s">
        <v>31</v>
      </c>
      <c r="B9" s="2" t="s">
        <v>53</v>
      </c>
      <c r="C9" s="2">
        <v>2022</v>
      </c>
      <c r="D9" s="2">
        <v>155</v>
      </c>
      <c r="E9" s="2">
        <v>335</v>
      </c>
      <c r="F9" s="7">
        <v>62700</v>
      </c>
      <c r="G9" s="2" t="s">
        <v>133</v>
      </c>
      <c r="H9" s="7">
        <v>1300</v>
      </c>
    </row>
    <row r="10" spans="1:17">
      <c r="A10" s="2" t="s">
        <v>32</v>
      </c>
      <c r="B10" s="2" t="s">
        <v>54</v>
      </c>
      <c r="C10" s="2">
        <v>2023</v>
      </c>
      <c r="D10" s="2">
        <v>130</v>
      </c>
      <c r="E10" s="2">
        <v>191</v>
      </c>
      <c r="F10" s="7">
        <v>28450</v>
      </c>
      <c r="G10" s="2" t="s">
        <v>131</v>
      </c>
      <c r="H10" s="7">
        <v>2000</v>
      </c>
    </row>
    <row r="11" spans="1:17">
      <c r="A11" s="2" t="s">
        <v>27</v>
      </c>
      <c r="B11" s="2" t="s">
        <v>55</v>
      </c>
      <c r="C11" s="2">
        <v>2023</v>
      </c>
      <c r="D11" s="2">
        <v>180</v>
      </c>
      <c r="E11" s="2">
        <v>450</v>
      </c>
      <c r="F11" s="7">
        <v>42850</v>
      </c>
      <c r="G11" s="2" t="s">
        <v>134</v>
      </c>
      <c r="H11" s="7">
        <v>1800</v>
      </c>
    </row>
    <row r="12" spans="1:17">
      <c r="A12" s="2" t="s">
        <v>26</v>
      </c>
      <c r="B12" s="2" t="s">
        <v>56</v>
      </c>
      <c r="C12" s="2">
        <v>2023</v>
      </c>
      <c r="D12" s="2">
        <v>120</v>
      </c>
      <c r="E12" s="2">
        <v>203</v>
      </c>
      <c r="F12" s="7">
        <v>29350</v>
      </c>
      <c r="G12" s="2" t="s">
        <v>135</v>
      </c>
      <c r="H12" s="7">
        <v>2500</v>
      </c>
    </row>
    <row r="13" spans="1:17">
      <c r="A13" s="2" t="s">
        <v>33</v>
      </c>
      <c r="B13" s="2" t="s">
        <v>57</v>
      </c>
      <c r="C13" s="2">
        <v>2023</v>
      </c>
      <c r="D13" s="2">
        <v>130</v>
      </c>
      <c r="E13" s="2">
        <v>201</v>
      </c>
      <c r="F13" s="7">
        <v>39900</v>
      </c>
      <c r="G13" s="2" t="s">
        <v>132</v>
      </c>
      <c r="H13" s="7">
        <v>2300</v>
      </c>
    </row>
    <row r="14" spans="1:17">
      <c r="A14" s="2" t="s">
        <v>34</v>
      </c>
      <c r="B14" s="2" t="s">
        <v>58</v>
      </c>
      <c r="C14" s="2">
        <v>2023</v>
      </c>
      <c r="D14" s="2">
        <v>140</v>
      </c>
      <c r="E14" s="2">
        <v>420</v>
      </c>
      <c r="F14" s="7">
        <v>51250</v>
      </c>
      <c r="G14" s="2" t="s">
        <v>133</v>
      </c>
      <c r="H14" s="7">
        <v>1000</v>
      </c>
    </row>
    <row r="15" spans="1:17">
      <c r="A15" s="2" t="s">
        <v>28</v>
      </c>
      <c r="B15" s="2" t="s">
        <v>59</v>
      </c>
      <c r="C15" s="2">
        <v>2023</v>
      </c>
      <c r="D15" s="2">
        <v>130</v>
      </c>
      <c r="E15" s="2">
        <v>190</v>
      </c>
      <c r="F15" s="7">
        <v>31450</v>
      </c>
      <c r="G15" s="2" t="s">
        <v>131</v>
      </c>
      <c r="H15" s="7">
        <v>2700</v>
      </c>
    </row>
    <row r="16" spans="1:17">
      <c r="A16" s="2" t="s">
        <v>35</v>
      </c>
      <c r="B16" s="2" t="s">
        <v>60</v>
      </c>
      <c r="C16" s="2">
        <v>2023</v>
      </c>
      <c r="D16" s="2">
        <v>130</v>
      </c>
      <c r="E16" s="2">
        <v>228</v>
      </c>
      <c r="F16" s="7">
        <v>30895</v>
      </c>
      <c r="G16" s="2" t="s">
        <v>132</v>
      </c>
      <c r="H16" s="7">
        <v>1200</v>
      </c>
    </row>
    <row r="17" spans="1:8">
      <c r="A17" s="2" t="s">
        <v>29</v>
      </c>
      <c r="B17" s="2" t="s">
        <v>61</v>
      </c>
      <c r="C17" s="2">
        <v>2023</v>
      </c>
      <c r="D17" s="2">
        <v>190</v>
      </c>
      <c r="E17" s="2">
        <v>650</v>
      </c>
      <c r="F17" s="7">
        <v>65590</v>
      </c>
      <c r="G17" s="2" t="s">
        <v>134</v>
      </c>
      <c r="H17" s="7">
        <v>1000</v>
      </c>
    </row>
    <row r="18" spans="1:8">
      <c r="A18" s="2" t="s">
        <v>27</v>
      </c>
      <c r="B18" s="2" t="s">
        <v>62</v>
      </c>
      <c r="C18" s="2">
        <v>2023</v>
      </c>
      <c r="D18" s="2">
        <v>135</v>
      </c>
      <c r="E18" s="2">
        <v>250</v>
      </c>
      <c r="F18" s="7">
        <v>28895</v>
      </c>
      <c r="G18" s="2" t="s">
        <v>133</v>
      </c>
      <c r="H18" s="7">
        <v>2600</v>
      </c>
    </row>
    <row r="19" spans="1:8">
      <c r="A19" s="2" t="s">
        <v>36</v>
      </c>
      <c r="B19" s="2" t="s">
        <v>63</v>
      </c>
      <c r="C19" s="2">
        <v>2023</v>
      </c>
      <c r="D19" s="2">
        <v>129</v>
      </c>
      <c r="E19" s="2">
        <v>187</v>
      </c>
      <c r="F19" s="7">
        <v>30545</v>
      </c>
      <c r="G19" s="2" t="s">
        <v>131</v>
      </c>
      <c r="H19" s="7">
        <v>2300</v>
      </c>
    </row>
    <row r="20" spans="1:8">
      <c r="A20" s="2" t="s">
        <v>37</v>
      </c>
      <c r="B20" s="2" t="s">
        <v>64</v>
      </c>
      <c r="C20" s="2">
        <v>2023</v>
      </c>
      <c r="D20" s="2">
        <v>126</v>
      </c>
      <c r="E20" s="2">
        <v>191</v>
      </c>
      <c r="F20" s="7">
        <v>32350</v>
      </c>
      <c r="G20" s="2" t="s">
        <v>132</v>
      </c>
      <c r="H20" s="7">
        <v>1500</v>
      </c>
    </row>
    <row r="21" spans="1:8">
      <c r="A21" s="2" t="s">
        <v>38</v>
      </c>
      <c r="B21" s="2" t="s">
        <v>65</v>
      </c>
      <c r="C21" s="2">
        <v>2023</v>
      </c>
      <c r="D21" s="2">
        <v>155</v>
      </c>
      <c r="E21" s="2">
        <v>255</v>
      </c>
      <c r="F21" s="7">
        <v>42600</v>
      </c>
      <c r="G21" s="2" t="s">
        <v>131</v>
      </c>
      <c r="H21" s="7">
        <v>1200</v>
      </c>
    </row>
    <row r="22" spans="1:8">
      <c r="A22" s="2" t="s">
        <v>39</v>
      </c>
      <c r="B22" s="2" t="s">
        <v>66</v>
      </c>
      <c r="C22" s="2">
        <v>2023</v>
      </c>
      <c r="D22" s="2">
        <v>125</v>
      </c>
      <c r="E22" s="2">
        <v>285</v>
      </c>
      <c r="F22" s="7">
        <v>38950</v>
      </c>
      <c r="G22" s="2" t="s">
        <v>133</v>
      </c>
      <c r="H22" s="7">
        <v>1800</v>
      </c>
    </row>
    <row r="23" spans="1:8">
      <c r="A23" s="2" t="s">
        <v>40</v>
      </c>
      <c r="B23" s="2" t="s">
        <v>67</v>
      </c>
      <c r="C23" s="2">
        <v>2023</v>
      </c>
      <c r="D23" s="2">
        <v>130</v>
      </c>
      <c r="E23" s="2">
        <v>147</v>
      </c>
      <c r="F23" s="7">
        <v>22495</v>
      </c>
      <c r="G23" s="2" t="s">
        <v>132</v>
      </c>
      <c r="H23" s="7">
        <v>2500</v>
      </c>
    </row>
    <row r="24" spans="1:8">
      <c r="A24" s="2" t="s">
        <v>41</v>
      </c>
      <c r="B24" s="2" t="s">
        <v>68</v>
      </c>
      <c r="C24" s="2">
        <v>2023</v>
      </c>
      <c r="D24" s="2">
        <v>140</v>
      </c>
      <c r="E24" s="2">
        <v>250</v>
      </c>
      <c r="F24" s="7">
        <v>45450</v>
      </c>
      <c r="G24" s="2" t="s">
        <v>134</v>
      </c>
      <c r="H24" s="7">
        <v>1000</v>
      </c>
    </row>
    <row r="25" spans="1:8">
      <c r="A25" s="2" t="s">
        <v>35</v>
      </c>
      <c r="B25" s="2" t="s">
        <v>69</v>
      </c>
      <c r="C25" s="2">
        <v>2023</v>
      </c>
      <c r="D25" s="2">
        <v>120</v>
      </c>
      <c r="E25" s="2">
        <v>182</v>
      </c>
      <c r="F25" s="7">
        <v>26995</v>
      </c>
      <c r="G25" s="2" t="s">
        <v>132</v>
      </c>
      <c r="H25" s="7">
        <v>2400</v>
      </c>
    </row>
    <row r="26" spans="1:8">
      <c r="A26" s="2" t="s">
        <v>26</v>
      </c>
      <c r="B26" s="2" t="s">
        <v>70</v>
      </c>
      <c r="C26" s="2">
        <v>2023</v>
      </c>
      <c r="D26" s="2">
        <v>115</v>
      </c>
      <c r="E26" s="2">
        <v>295</v>
      </c>
      <c r="F26" s="7">
        <v>36085</v>
      </c>
      <c r="G26" s="2" t="s">
        <v>133</v>
      </c>
      <c r="H26" s="7">
        <v>1900</v>
      </c>
    </row>
    <row r="27" spans="1:8">
      <c r="A27" s="2" t="s">
        <v>27</v>
      </c>
      <c r="B27" s="2" t="s">
        <v>71</v>
      </c>
      <c r="C27" s="2">
        <v>2023</v>
      </c>
      <c r="D27" s="2">
        <v>130</v>
      </c>
      <c r="E27" s="2">
        <v>300</v>
      </c>
      <c r="F27" s="7">
        <v>37775</v>
      </c>
      <c r="G27" s="2" t="s">
        <v>131</v>
      </c>
      <c r="H27" s="7">
        <v>1800</v>
      </c>
    </row>
    <row r="28" spans="1:8">
      <c r="A28" s="2" t="s">
        <v>29</v>
      </c>
      <c r="B28" s="2" t="s">
        <v>72</v>
      </c>
      <c r="C28" s="2">
        <v>2023</v>
      </c>
      <c r="D28" s="2">
        <v>190</v>
      </c>
      <c r="E28" s="2">
        <v>490</v>
      </c>
      <c r="F28" s="7">
        <v>67590</v>
      </c>
      <c r="G28" s="2" t="s">
        <v>134</v>
      </c>
      <c r="H28" s="7">
        <v>1300</v>
      </c>
    </row>
    <row r="29" spans="1:8">
      <c r="A29" s="2" t="s">
        <v>27</v>
      </c>
      <c r="B29" s="2" t="s">
        <v>73</v>
      </c>
      <c r="C29" s="2">
        <v>2023</v>
      </c>
      <c r="D29" s="2">
        <v>120</v>
      </c>
      <c r="E29" s="2">
        <v>400</v>
      </c>
      <c r="F29" s="7">
        <v>54500</v>
      </c>
      <c r="G29" s="2" t="s">
        <v>131</v>
      </c>
      <c r="H29" s="2">
        <v>800</v>
      </c>
    </row>
    <row r="30" spans="1:8">
      <c r="A30" s="2" t="s">
        <v>32</v>
      </c>
      <c r="B30" s="2" t="s">
        <v>74</v>
      </c>
      <c r="C30" s="2">
        <v>2023</v>
      </c>
      <c r="D30" s="2">
        <v>126</v>
      </c>
      <c r="E30" s="2">
        <v>187</v>
      </c>
      <c r="F30" s="7">
        <v>27500</v>
      </c>
      <c r="G30" s="2" t="s">
        <v>132</v>
      </c>
      <c r="H30" s="7">
        <v>1500</v>
      </c>
    </row>
    <row r="31" spans="1:8">
      <c r="A31" s="2" t="s">
        <v>34</v>
      </c>
      <c r="B31" s="2" t="s">
        <v>75</v>
      </c>
      <c r="C31" s="2">
        <v>2023</v>
      </c>
      <c r="D31" s="2">
        <v>120</v>
      </c>
      <c r="E31" s="2">
        <v>355</v>
      </c>
      <c r="F31" s="7">
        <v>51850</v>
      </c>
      <c r="G31" s="2" t="s">
        <v>133</v>
      </c>
      <c r="H31" s="7">
        <v>1200</v>
      </c>
    </row>
    <row r="32" spans="1:8">
      <c r="A32" s="2" t="s">
        <v>33</v>
      </c>
      <c r="B32" s="2" t="s">
        <v>76</v>
      </c>
      <c r="C32" s="2">
        <v>2023</v>
      </c>
      <c r="D32" s="2">
        <v>135</v>
      </c>
      <c r="E32" s="2">
        <v>261</v>
      </c>
      <c r="F32" s="7">
        <v>43200</v>
      </c>
      <c r="G32" s="2" t="s">
        <v>131</v>
      </c>
      <c r="H32" s="7">
        <v>1400</v>
      </c>
    </row>
    <row r="33" spans="1:8">
      <c r="A33" s="2" t="s">
        <v>37</v>
      </c>
      <c r="B33" s="2" t="s">
        <v>77</v>
      </c>
      <c r="C33" s="2">
        <v>2023</v>
      </c>
      <c r="D33" s="2">
        <v>130</v>
      </c>
      <c r="E33" s="2">
        <v>291</v>
      </c>
      <c r="F33" s="7">
        <v>38500</v>
      </c>
      <c r="G33" s="2" t="s">
        <v>133</v>
      </c>
      <c r="H33" s="7">
        <v>1800</v>
      </c>
    </row>
    <row r="34" spans="1:8">
      <c r="A34" s="2" t="s">
        <v>38</v>
      </c>
      <c r="B34" s="2" t="s">
        <v>78</v>
      </c>
      <c r="C34" s="2">
        <v>2023</v>
      </c>
      <c r="D34" s="2">
        <v>140</v>
      </c>
      <c r="E34" s="2">
        <v>255</v>
      </c>
      <c r="F34" s="7">
        <v>43900</v>
      </c>
      <c r="G34" s="2" t="s">
        <v>134</v>
      </c>
      <c r="H34" s="7">
        <v>1200</v>
      </c>
    </row>
    <row r="35" spans="1:8">
      <c r="A35" s="2" t="s">
        <v>39</v>
      </c>
      <c r="B35" s="2" t="s">
        <v>79</v>
      </c>
      <c r="C35" s="2">
        <v>2023</v>
      </c>
      <c r="D35" s="2">
        <v>130</v>
      </c>
      <c r="E35" s="2">
        <v>295</v>
      </c>
      <c r="F35" s="7">
        <v>36750</v>
      </c>
      <c r="G35" s="2" t="s">
        <v>133</v>
      </c>
      <c r="H35" s="7">
        <v>1600</v>
      </c>
    </row>
    <row r="36" spans="1:8">
      <c r="A36" s="2" t="s">
        <v>42</v>
      </c>
      <c r="B36" s="2" t="s">
        <v>80</v>
      </c>
      <c r="C36" s="2">
        <v>2023</v>
      </c>
      <c r="D36" s="2">
        <v>124</v>
      </c>
      <c r="E36" s="2">
        <v>158</v>
      </c>
      <c r="F36" s="7">
        <v>23900</v>
      </c>
      <c r="G36" s="2" t="s">
        <v>133</v>
      </c>
      <c r="H36" s="7">
        <v>2300</v>
      </c>
    </row>
    <row r="37" spans="1:8">
      <c r="A37" s="2" t="s">
        <v>30</v>
      </c>
      <c r="B37" s="2" t="s">
        <v>81</v>
      </c>
      <c r="C37" s="2">
        <v>2023</v>
      </c>
      <c r="D37" s="2">
        <v>120</v>
      </c>
      <c r="E37" s="2">
        <v>284</v>
      </c>
      <c r="F37" s="7">
        <v>33000</v>
      </c>
      <c r="G37" s="2" t="s">
        <v>133</v>
      </c>
      <c r="H37" s="7">
        <v>1400</v>
      </c>
    </row>
    <row r="38" spans="1:8">
      <c r="A38" s="2" t="s">
        <v>35</v>
      </c>
      <c r="B38" s="2" t="s">
        <v>82</v>
      </c>
      <c r="C38" s="2">
        <v>2023</v>
      </c>
      <c r="D38" s="2">
        <v>130</v>
      </c>
      <c r="E38" s="2">
        <v>182</v>
      </c>
      <c r="F38" s="7">
        <v>27495</v>
      </c>
      <c r="G38" s="2" t="s">
        <v>132</v>
      </c>
      <c r="H38" s="7">
        <v>2000</v>
      </c>
    </row>
    <row r="39" spans="1:8">
      <c r="A39" s="2" t="s">
        <v>26</v>
      </c>
      <c r="B39" s="2" t="s">
        <v>83</v>
      </c>
      <c r="C39" s="2">
        <v>2023</v>
      </c>
      <c r="D39" s="2">
        <v>115</v>
      </c>
      <c r="E39" s="2">
        <v>270</v>
      </c>
      <c r="F39" s="7">
        <v>36585</v>
      </c>
      <c r="G39" s="2" t="s">
        <v>132</v>
      </c>
      <c r="H39" s="7">
        <v>1100</v>
      </c>
    </row>
    <row r="40" spans="1:8">
      <c r="A40" s="2" t="s">
        <v>27</v>
      </c>
      <c r="B40" s="2" t="s">
        <v>84</v>
      </c>
      <c r="C40" s="2">
        <v>2023</v>
      </c>
      <c r="D40" s="2">
        <v>130</v>
      </c>
      <c r="E40" s="2">
        <v>250</v>
      </c>
      <c r="F40" s="7">
        <v>32650</v>
      </c>
      <c r="G40" s="2"/>
      <c r="H40" s="7">
        <v>1800</v>
      </c>
    </row>
    <row r="41" spans="1:8">
      <c r="A41" s="2" t="s">
        <v>29</v>
      </c>
      <c r="B41" s="2" t="s">
        <v>85</v>
      </c>
      <c r="C41" s="2">
        <v>2023</v>
      </c>
      <c r="D41" s="2">
        <v>125</v>
      </c>
      <c r="E41" s="2">
        <v>170</v>
      </c>
      <c r="F41" s="7">
        <v>27900</v>
      </c>
      <c r="G41" s="2" t="s">
        <v>132</v>
      </c>
      <c r="H41" s="7">
        <v>1900</v>
      </c>
    </row>
    <row r="42" spans="1:8">
      <c r="A42" s="2" t="s">
        <v>28</v>
      </c>
      <c r="B42" s="2" t="s">
        <v>86</v>
      </c>
      <c r="C42" s="2">
        <v>2023</v>
      </c>
      <c r="D42" s="2">
        <v>120</v>
      </c>
      <c r="E42" s="2">
        <v>141</v>
      </c>
      <c r="F42" s="7">
        <v>24650</v>
      </c>
      <c r="G42" s="2" t="s">
        <v>135</v>
      </c>
      <c r="H42" s="7">
        <v>2200</v>
      </c>
    </row>
    <row r="43" spans="1:8">
      <c r="A43" s="2" t="s">
        <v>38</v>
      </c>
      <c r="B43" s="2" t="s">
        <v>87</v>
      </c>
      <c r="C43" s="2">
        <v>2023</v>
      </c>
      <c r="D43" s="2">
        <v>155</v>
      </c>
      <c r="E43" s="2">
        <v>429</v>
      </c>
      <c r="F43" s="7">
        <v>99950</v>
      </c>
      <c r="G43" s="2" t="s">
        <v>134</v>
      </c>
      <c r="H43" s="2">
        <v>400</v>
      </c>
    </row>
    <row r="44" spans="1:8">
      <c r="A44" s="2" t="s">
        <v>39</v>
      </c>
      <c r="B44" s="2" t="s">
        <v>88</v>
      </c>
      <c r="C44" s="2">
        <v>2023</v>
      </c>
      <c r="D44" s="2">
        <v>125</v>
      </c>
      <c r="E44" s="2">
        <v>177</v>
      </c>
      <c r="F44" s="7">
        <v>26350</v>
      </c>
      <c r="G44" s="2" t="s">
        <v>133</v>
      </c>
      <c r="H44" s="7">
        <v>2200</v>
      </c>
    </row>
    <row r="45" spans="1:8">
      <c r="A45" s="2" t="s">
        <v>42</v>
      </c>
      <c r="B45" s="2" t="s">
        <v>89</v>
      </c>
      <c r="C45" s="2">
        <v>2023</v>
      </c>
      <c r="D45" s="2">
        <v>130</v>
      </c>
      <c r="E45" s="2">
        <v>235</v>
      </c>
      <c r="F45" s="7">
        <v>33450</v>
      </c>
      <c r="G45" s="2" t="s">
        <v>133</v>
      </c>
      <c r="H45" s="7">
        <v>1800</v>
      </c>
    </row>
    <row r="46" spans="1:8">
      <c r="A46" s="2" t="s">
        <v>30</v>
      </c>
      <c r="B46" s="2" t="s">
        <v>90</v>
      </c>
      <c r="C46" s="2">
        <v>2023</v>
      </c>
      <c r="D46" s="2">
        <v>125</v>
      </c>
      <c r="E46" s="2">
        <v>149</v>
      </c>
      <c r="F46" s="7">
        <v>20450</v>
      </c>
      <c r="G46" s="2" t="s">
        <v>132</v>
      </c>
      <c r="H46" s="7">
        <v>2600</v>
      </c>
    </row>
    <row r="47" spans="1:8">
      <c r="A47" s="2" t="s">
        <v>35</v>
      </c>
      <c r="B47" s="2" t="s">
        <v>91</v>
      </c>
      <c r="C47" s="2">
        <v>2023</v>
      </c>
      <c r="D47" s="2">
        <v>130</v>
      </c>
      <c r="E47" s="2">
        <v>228</v>
      </c>
      <c r="F47" s="7">
        <v>26245</v>
      </c>
      <c r="G47" s="2" t="s">
        <v>133</v>
      </c>
      <c r="H47" s="7">
        <v>1500</v>
      </c>
    </row>
    <row r="48" spans="1:8">
      <c r="A48" s="2" t="s">
        <v>43</v>
      </c>
      <c r="B48" s="2" t="s">
        <v>92</v>
      </c>
      <c r="C48" s="2">
        <v>2023</v>
      </c>
      <c r="D48" s="2">
        <v>120</v>
      </c>
      <c r="E48" s="2">
        <v>295</v>
      </c>
      <c r="F48" s="7">
        <v>46800</v>
      </c>
      <c r="G48" s="2" t="s">
        <v>131</v>
      </c>
      <c r="H48" s="7">
        <v>1200</v>
      </c>
    </row>
    <row r="49" spans="1:8">
      <c r="A49" s="2" t="s">
        <v>31</v>
      </c>
      <c r="B49" s="2" t="s">
        <v>93</v>
      </c>
      <c r="C49" s="2">
        <v>2023</v>
      </c>
      <c r="D49" s="2">
        <v>130</v>
      </c>
      <c r="E49" s="2">
        <v>248</v>
      </c>
      <c r="F49" s="7">
        <v>54700</v>
      </c>
      <c r="G49" s="2"/>
      <c r="H49" s="2">
        <v>800</v>
      </c>
    </row>
    <row r="50" spans="1:8">
      <c r="A50" s="2" t="s">
        <v>36</v>
      </c>
      <c r="B50" s="2" t="s">
        <v>94</v>
      </c>
      <c r="C50" s="2">
        <v>2023</v>
      </c>
      <c r="D50" s="2">
        <v>130</v>
      </c>
      <c r="E50" s="2">
        <v>187</v>
      </c>
      <c r="F50" s="7">
        <v>27550</v>
      </c>
      <c r="G50" s="2" t="s">
        <v>133</v>
      </c>
      <c r="H50" s="7">
        <v>1300</v>
      </c>
    </row>
    <row r="51" spans="1:8">
      <c r="A51" s="2" t="s">
        <v>26</v>
      </c>
      <c r="B51" s="2" t="s">
        <v>95</v>
      </c>
      <c r="C51" s="2">
        <v>2023</v>
      </c>
      <c r="D51" s="2">
        <v>120</v>
      </c>
      <c r="E51" s="2">
        <v>278</v>
      </c>
      <c r="F51" s="7">
        <v>35950</v>
      </c>
      <c r="G51" s="2" t="s">
        <v>131</v>
      </c>
      <c r="H51" s="7">
        <v>1800</v>
      </c>
    </row>
    <row r="52" spans="1:8">
      <c r="A52" s="2" t="s">
        <v>33</v>
      </c>
      <c r="B52" s="2" t="s">
        <v>96</v>
      </c>
      <c r="C52" s="2">
        <v>2023</v>
      </c>
      <c r="D52" s="2">
        <v>130</v>
      </c>
      <c r="E52" s="2">
        <v>335</v>
      </c>
      <c r="F52" s="7">
        <v>54800</v>
      </c>
      <c r="G52" s="2" t="s">
        <v>131</v>
      </c>
      <c r="H52" s="7">
        <v>1100</v>
      </c>
    </row>
    <row r="53" spans="1:8">
      <c r="A53" s="2" t="s">
        <v>27</v>
      </c>
      <c r="B53" s="2" t="s">
        <v>97</v>
      </c>
      <c r="C53" s="2">
        <v>2023</v>
      </c>
      <c r="D53" s="2">
        <v>120</v>
      </c>
      <c r="E53" s="2">
        <v>310</v>
      </c>
      <c r="F53" s="7">
        <v>33790</v>
      </c>
      <c r="G53" s="2" t="s">
        <v>131</v>
      </c>
      <c r="H53" s="7">
        <v>1900</v>
      </c>
    </row>
    <row r="54" spans="1:8">
      <c r="A54" s="2" t="s">
        <v>28</v>
      </c>
      <c r="B54" s="2" t="s">
        <v>98</v>
      </c>
      <c r="C54" s="2">
        <v>2023</v>
      </c>
      <c r="D54" s="2">
        <v>120</v>
      </c>
      <c r="E54" s="2">
        <v>280</v>
      </c>
      <c r="F54" s="7">
        <v>36500</v>
      </c>
      <c r="G54" s="2" t="s">
        <v>133</v>
      </c>
      <c r="H54" s="7">
        <v>1500</v>
      </c>
    </row>
    <row r="55" spans="1:8">
      <c r="A55" s="2" t="s">
        <v>37</v>
      </c>
      <c r="B55" s="2" t="s">
        <v>99</v>
      </c>
      <c r="C55" s="2">
        <v>2023</v>
      </c>
      <c r="D55" s="2">
        <v>120</v>
      </c>
      <c r="E55" s="2">
        <v>181</v>
      </c>
      <c r="F55" s="7">
        <v>25000</v>
      </c>
      <c r="G55" s="2" t="s">
        <v>132</v>
      </c>
      <c r="H55" s="7">
        <v>2200</v>
      </c>
    </row>
    <row r="56" spans="1:8">
      <c r="A56" s="2" t="s">
        <v>34</v>
      </c>
      <c r="B56" s="2" t="s">
        <v>100</v>
      </c>
      <c r="C56" s="2">
        <v>2023</v>
      </c>
      <c r="D56" s="2">
        <v>130</v>
      </c>
      <c r="E56" s="2">
        <v>228</v>
      </c>
      <c r="F56" s="7">
        <v>33900</v>
      </c>
      <c r="G56" s="2" t="s">
        <v>133</v>
      </c>
      <c r="H56" s="7">
        <v>1500</v>
      </c>
    </row>
    <row r="57" spans="1:8">
      <c r="A57" s="2" t="s">
        <v>43</v>
      </c>
      <c r="B57" s="2" t="s">
        <v>101</v>
      </c>
      <c r="C57" s="2">
        <v>2023</v>
      </c>
      <c r="D57" s="2">
        <v>120</v>
      </c>
      <c r="E57" s="2">
        <v>275</v>
      </c>
      <c r="F57" s="7">
        <v>37510</v>
      </c>
      <c r="G57" s="2" t="s">
        <v>131</v>
      </c>
      <c r="H57" s="7">
        <v>1100</v>
      </c>
    </row>
    <row r="58" spans="1:8">
      <c r="A58" s="2" t="s">
        <v>27</v>
      </c>
      <c r="B58" s="2" t="s">
        <v>55</v>
      </c>
      <c r="C58" s="2">
        <v>2023</v>
      </c>
      <c r="D58" s="2">
        <v>155</v>
      </c>
      <c r="E58" s="2">
        <v>310</v>
      </c>
      <c r="F58" s="7">
        <v>28700</v>
      </c>
      <c r="G58" s="2" t="s">
        <v>131</v>
      </c>
      <c r="H58" s="7">
        <v>1500</v>
      </c>
    </row>
    <row r="59" spans="1:8">
      <c r="A59" s="2" t="s">
        <v>26</v>
      </c>
      <c r="B59" s="2" t="s">
        <v>102</v>
      </c>
      <c r="C59" s="2">
        <v>2023</v>
      </c>
      <c r="D59" s="2">
        <v>115</v>
      </c>
      <c r="E59" s="2">
        <v>245</v>
      </c>
      <c r="F59" s="7">
        <v>34750</v>
      </c>
      <c r="G59" s="2" t="s">
        <v>133</v>
      </c>
      <c r="H59" s="7">
        <v>1900</v>
      </c>
    </row>
    <row r="60" spans="1:8">
      <c r="A60" s="2" t="s">
        <v>28</v>
      </c>
      <c r="B60" s="2" t="s">
        <v>50</v>
      </c>
      <c r="C60" s="2">
        <v>2023</v>
      </c>
      <c r="D60" s="2">
        <v>120</v>
      </c>
      <c r="E60" s="2">
        <v>158</v>
      </c>
      <c r="F60" s="7">
        <v>21700</v>
      </c>
      <c r="G60" s="2" t="s">
        <v>133</v>
      </c>
      <c r="H60" s="7">
        <v>2300</v>
      </c>
    </row>
    <row r="61" spans="1:8">
      <c r="A61" s="2" t="s">
        <v>35</v>
      </c>
      <c r="B61" s="2" t="s">
        <v>103</v>
      </c>
      <c r="C61" s="2">
        <v>2023</v>
      </c>
      <c r="D61" s="2">
        <v>120</v>
      </c>
      <c r="E61" s="2">
        <v>260</v>
      </c>
      <c r="F61" s="7">
        <v>33420</v>
      </c>
      <c r="G61" s="2"/>
      <c r="H61" s="7">
        <v>1800</v>
      </c>
    </row>
    <row r="62" spans="1:8">
      <c r="A62" s="2" t="s">
        <v>30</v>
      </c>
      <c r="B62" s="2" t="s">
        <v>104</v>
      </c>
      <c r="C62" s="2">
        <v>2023</v>
      </c>
      <c r="D62" s="2">
        <v>115</v>
      </c>
      <c r="E62" s="2">
        <v>122</v>
      </c>
      <c r="F62" s="7">
        <v>19490</v>
      </c>
      <c r="G62" s="2" t="s">
        <v>132</v>
      </c>
      <c r="H62" s="7">
        <v>2100</v>
      </c>
    </row>
    <row r="63" spans="1:8">
      <c r="A63" s="2" t="s">
        <v>29</v>
      </c>
      <c r="B63" s="2" t="s">
        <v>105</v>
      </c>
      <c r="C63" s="2">
        <v>2023</v>
      </c>
      <c r="D63" s="2">
        <v>120</v>
      </c>
      <c r="E63" s="2">
        <v>138</v>
      </c>
      <c r="F63" s="7">
        <v>22595</v>
      </c>
      <c r="G63" s="2"/>
      <c r="H63" s="7">
        <v>2400</v>
      </c>
    </row>
    <row r="64" spans="1:8">
      <c r="A64" s="2" t="s">
        <v>32</v>
      </c>
      <c r="B64" s="2" t="s">
        <v>54</v>
      </c>
      <c r="C64" s="2">
        <v>2023</v>
      </c>
      <c r="D64" s="2">
        <v>120</v>
      </c>
      <c r="E64" s="2">
        <v>191</v>
      </c>
      <c r="F64" s="7">
        <v>26650</v>
      </c>
      <c r="G64" s="2" t="s">
        <v>133</v>
      </c>
      <c r="H64" s="7">
        <v>2100</v>
      </c>
    </row>
    <row r="65" spans="1:8">
      <c r="A65" s="2" t="s">
        <v>43</v>
      </c>
      <c r="B65" s="2" t="s">
        <v>106</v>
      </c>
      <c r="C65" s="2">
        <v>2023</v>
      </c>
      <c r="D65" s="2">
        <v>130</v>
      </c>
      <c r="E65" s="2">
        <v>275</v>
      </c>
      <c r="F65" s="7">
        <v>41050</v>
      </c>
      <c r="G65" s="2" t="s">
        <v>131</v>
      </c>
      <c r="H65" s="7">
        <v>1000</v>
      </c>
    </row>
    <row r="66" spans="1:8">
      <c r="A66" s="2" t="s">
        <v>27</v>
      </c>
      <c r="B66" s="2" t="s">
        <v>107</v>
      </c>
      <c r="C66" s="2">
        <v>2023</v>
      </c>
      <c r="D66" s="2">
        <v>120</v>
      </c>
      <c r="E66" s="2">
        <v>270</v>
      </c>
      <c r="F66" s="7">
        <v>28570</v>
      </c>
      <c r="G66" s="2" t="s">
        <v>133</v>
      </c>
      <c r="H66" s="7">
        <v>1400</v>
      </c>
    </row>
    <row r="67" spans="1:8">
      <c r="A67" s="2" t="s">
        <v>26</v>
      </c>
      <c r="B67" s="2" t="s">
        <v>108</v>
      </c>
      <c r="C67" s="2">
        <v>2023</v>
      </c>
      <c r="D67" s="2">
        <v>120</v>
      </c>
      <c r="E67" s="2">
        <v>389</v>
      </c>
      <c r="F67" s="7">
        <v>42700</v>
      </c>
      <c r="G67" s="2" t="s">
        <v>133</v>
      </c>
      <c r="H67" s="7">
        <v>1800</v>
      </c>
    </row>
    <row r="68" spans="1:8">
      <c r="A68" s="2" t="s">
        <v>37</v>
      </c>
      <c r="B68" s="2" t="s">
        <v>109</v>
      </c>
      <c r="C68" s="2">
        <v>2023</v>
      </c>
      <c r="D68" s="2">
        <v>120</v>
      </c>
      <c r="E68" s="2">
        <v>290</v>
      </c>
      <c r="F68" s="7">
        <v>35600</v>
      </c>
      <c r="G68" s="2" t="s">
        <v>131</v>
      </c>
      <c r="H68" s="7">
        <v>1700</v>
      </c>
    </row>
    <row r="69" spans="1:8">
      <c r="A69" s="2" t="s">
        <v>35</v>
      </c>
      <c r="B69" s="2" t="s">
        <v>60</v>
      </c>
      <c r="C69" s="2">
        <v>2023</v>
      </c>
      <c r="D69" s="2">
        <v>120</v>
      </c>
      <c r="E69" s="2">
        <v>228</v>
      </c>
      <c r="F69" s="7">
        <v>31945</v>
      </c>
      <c r="G69" s="2" t="s">
        <v>133</v>
      </c>
      <c r="H69" s="7">
        <v>1600</v>
      </c>
    </row>
    <row r="70" spans="1:8">
      <c r="A70" s="2" t="s">
        <v>30</v>
      </c>
      <c r="B70" s="2" t="s">
        <v>110</v>
      </c>
      <c r="C70" s="2">
        <v>2023</v>
      </c>
      <c r="D70" s="2">
        <v>120</v>
      </c>
      <c r="E70" s="2">
        <v>310</v>
      </c>
      <c r="F70" s="7">
        <v>28950</v>
      </c>
      <c r="G70" s="2" t="s">
        <v>132</v>
      </c>
      <c r="H70" s="7">
        <v>2000</v>
      </c>
    </row>
    <row r="71" spans="1:8">
      <c r="A71" s="2" t="s">
        <v>32</v>
      </c>
      <c r="B71" s="2" t="s">
        <v>111</v>
      </c>
      <c r="C71" s="2">
        <v>2023</v>
      </c>
      <c r="D71" s="2">
        <v>115</v>
      </c>
      <c r="E71" s="2">
        <v>121</v>
      </c>
      <c r="F71" s="7">
        <v>20400</v>
      </c>
      <c r="G71" s="2" t="s">
        <v>132</v>
      </c>
      <c r="H71" s="7">
        <v>2300</v>
      </c>
    </row>
    <row r="72" spans="1:8">
      <c r="A72" s="2" t="s">
        <v>44</v>
      </c>
      <c r="B72" s="2" t="s">
        <v>112</v>
      </c>
      <c r="C72" s="2">
        <v>2023</v>
      </c>
      <c r="D72" s="2">
        <v>120</v>
      </c>
      <c r="E72" s="2">
        <v>300</v>
      </c>
      <c r="F72" s="7">
        <v>47700</v>
      </c>
      <c r="G72" s="2" t="s">
        <v>131</v>
      </c>
      <c r="H72" s="2">
        <v>900</v>
      </c>
    </row>
    <row r="73" spans="1:8">
      <c r="A73" s="2" t="s">
        <v>29</v>
      </c>
      <c r="B73" s="2" t="s">
        <v>61</v>
      </c>
      <c r="C73" s="2">
        <v>2023</v>
      </c>
      <c r="D73" s="2">
        <v>155</v>
      </c>
      <c r="E73" s="2">
        <v>275</v>
      </c>
      <c r="F73" s="7">
        <v>25000</v>
      </c>
      <c r="G73" s="2" t="s">
        <v>133</v>
      </c>
      <c r="H73" s="7">
        <v>1600</v>
      </c>
    </row>
    <row r="74" spans="1:8">
      <c r="A74" s="2" t="s">
        <v>28</v>
      </c>
      <c r="B74" s="2" t="s">
        <v>113</v>
      </c>
      <c r="C74" s="2">
        <v>2023</v>
      </c>
      <c r="D74" s="2">
        <v>115</v>
      </c>
      <c r="E74" s="2">
        <v>128</v>
      </c>
      <c r="F74" s="7">
        <v>17600</v>
      </c>
      <c r="G74" s="2" t="s">
        <v>132</v>
      </c>
      <c r="H74" s="7">
        <v>2400</v>
      </c>
    </row>
    <row r="75" spans="1:8">
      <c r="A75" s="2" t="s">
        <v>27</v>
      </c>
      <c r="B75" s="2" t="s">
        <v>114</v>
      </c>
      <c r="C75" s="2">
        <v>2023</v>
      </c>
      <c r="D75" s="2">
        <v>130</v>
      </c>
      <c r="E75" s="2">
        <v>191</v>
      </c>
      <c r="F75" s="7">
        <v>21820</v>
      </c>
      <c r="G75" s="2" t="s">
        <v>131</v>
      </c>
      <c r="H75" s="7">
        <v>1700</v>
      </c>
    </row>
    <row r="76" spans="1:8">
      <c r="A76" s="2" t="s">
        <v>26</v>
      </c>
      <c r="B76" s="2" t="s">
        <v>48</v>
      </c>
      <c r="C76" s="2">
        <v>2023</v>
      </c>
      <c r="D76" s="2">
        <v>120</v>
      </c>
      <c r="E76" s="2">
        <v>206</v>
      </c>
      <c r="F76" s="7">
        <v>26170</v>
      </c>
      <c r="G76" s="2" t="s">
        <v>133</v>
      </c>
      <c r="H76" s="7">
        <v>1600</v>
      </c>
    </row>
    <row r="77" spans="1:8">
      <c r="A77" s="2" t="s">
        <v>37</v>
      </c>
      <c r="B77" s="2" t="s">
        <v>115</v>
      </c>
      <c r="C77" s="2">
        <v>2023</v>
      </c>
      <c r="D77" s="2">
        <v>115</v>
      </c>
      <c r="E77" s="2">
        <v>147</v>
      </c>
      <c r="F77" s="7">
        <v>21490</v>
      </c>
      <c r="G77" s="2" t="s">
        <v>132</v>
      </c>
      <c r="H77" s="7">
        <v>2200</v>
      </c>
    </row>
    <row r="78" spans="1:8">
      <c r="A78" s="2" t="s">
        <v>29</v>
      </c>
      <c r="B78" s="2" t="s">
        <v>72</v>
      </c>
      <c r="C78" s="2">
        <v>2023</v>
      </c>
      <c r="D78" s="2">
        <v>190</v>
      </c>
      <c r="E78" s="2">
        <v>490</v>
      </c>
      <c r="F78" s="7">
        <v>75590</v>
      </c>
      <c r="G78" s="2" t="s">
        <v>134</v>
      </c>
      <c r="H78" s="7">
        <v>1000</v>
      </c>
    </row>
    <row r="79" spans="1:8">
      <c r="A79" s="2" t="s">
        <v>27</v>
      </c>
      <c r="B79" s="2" t="s">
        <v>71</v>
      </c>
      <c r="C79" s="2">
        <v>2023</v>
      </c>
      <c r="D79" s="2">
        <v>130</v>
      </c>
      <c r="E79" s="2">
        <v>300</v>
      </c>
      <c r="F79" s="7">
        <v>37775</v>
      </c>
      <c r="G79" s="2" t="s">
        <v>131</v>
      </c>
      <c r="H79" s="7">
        <v>1800</v>
      </c>
    </row>
    <row r="80" spans="1:8">
      <c r="A80" s="2" t="s">
        <v>34</v>
      </c>
      <c r="B80" s="2" t="s">
        <v>100</v>
      </c>
      <c r="C80" s="2">
        <v>2023</v>
      </c>
      <c r="D80" s="2">
        <v>130</v>
      </c>
      <c r="E80" s="2">
        <v>228</v>
      </c>
      <c r="F80" s="7">
        <v>33900</v>
      </c>
      <c r="G80" s="2" t="s">
        <v>133</v>
      </c>
      <c r="H80" s="7">
        <v>1600</v>
      </c>
    </row>
    <row r="81" spans="1:8">
      <c r="A81" s="2" t="s">
        <v>32</v>
      </c>
      <c r="B81" s="2" t="s">
        <v>111</v>
      </c>
      <c r="C81" s="2">
        <v>2023</v>
      </c>
      <c r="D81" s="2">
        <v>115</v>
      </c>
      <c r="E81" s="2">
        <v>121</v>
      </c>
      <c r="F81" s="7">
        <v>20400</v>
      </c>
      <c r="G81" s="2" t="s">
        <v>132</v>
      </c>
      <c r="H81" s="7">
        <v>2300</v>
      </c>
    </row>
    <row r="82" spans="1:8">
      <c r="A82" s="2" t="s">
        <v>44</v>
      </c>
      <c r="B82" s="2" t="s">
        <v>112</v>
      </c>
      <c r="C82" s="2">
        <v>2023</v>
      </c>
      <c r="D82" s="2">
        <v>120</v>
      </c>
      <c r="E82" s="2">
        <v>300</v>
      </c>
      <c r="F82" s="7">
        <v>47700</v>
      </c>
      <c r="G82" s="2" t="s">
        <v>131</v>
      </c>
      <c r="H82" s="2">
        <v>900</v>
      </c>
    </row>
    <row r="83" spans="1:8">
      <c r="A83" s="2" t="s">
        <v>29</v>
      </c>
      <c r="B83" s="2" t="s">
        <v>61</v>
      </c>
      <c r="C83" s="2">
        <v>2023</v>
      </c>
      <c r="D83" s="2">
        <v>155</v>
      </c>
      <c r="E83" s="2">
        <v>275</v>
      </c>
      <c r="F83" s="7">
        <v>25000</v>
      </c>
      <c r="G83" s="2" t="s">
        <v>133</v>
      </c>
      <c r="H83" s="7">
        <v>1600</v>
      </c>
    </row>
    <row r="84" spans="1:8">
      <c r="A84" s="2" t="s">
        <v>28</v>
      </c>
      <c r="B84" s="2" t="s">
        <v>113</v>
      </c>
      <c r="C84" s="2">
        <v>2023</v>
      </c>
      <c r="D84" s="2">
        <v>115</v>
      </c>
      <c r="E84" s="2">
        <v>128</v>
      </c>
      <c r="F84" s="7">
        <v>17600</v>
      </c>
      <c r="G84" s="2" t="s">
        <v>132</v>
      </c>
      <c r="H84" s="7">
        <v>2400</v>
      </c>
    </row>
    <row r="85" spans="1:8">
      <c r="A85" s="2" t="s">
        <v>27</v>
      </c>
      <c r="B85" s="2" t="s">
        <v>114</v>
      </c>
      <c r="C85" s="2">
        <v>2023</v>
      </c>
      <c r="D85" s="2">
        <v>130</v>
      </c>
      <c r="E85" s="2">
        <v>191</v>
      </c>
      <c r="F85" s="7">
        <v>21820</v>
      </c>
      <c r="G85" s="2" t="s">
        <v>131</v>
      </c>
      <c r="H85" s="7">
        <v>1700</v>
      </c>
    </row>
    <row r="86" spans="1:8">
      <c r="A86" s="2" t="s">
        <v>26</v>
      </c>
      <c r="B86" s="2" t="s">
        <v>48</v>
      </c>
      <c r="C86" s="2">
        <v>2023</v>
      </c>
      <c r="D86" s="2">
        <v>120</v>
      </c>
      <c r="E86" s="2">
        <v>206</v>
      </c>
      <c r="F86" s="7">
        <v>26170</v>
      </c>
      <c r="G86" s="2" t="s">
        <v>133</v>
      </c>
      <c r="H86" s="7">
        <v>1600</v>
      </c>
    </row>
    <row r="87" spans="1:8">
      <c r="A87" s="2" t="s">
        <v>37</v>
      </c>
      <c r="B87" s="2" t="s">
        <v>115</v>
      </c>
      <c r="C87" s="2">
        <v>2023</v>
      </c>
      <c r="D87" s="2">
        <v>115</v>
      </c>
      <c r="E87" s="2">
        <v>147</v>
      </c>
      <c r="F87" s="7">
        <v>21490</v>
      </c>
      <c r="G87" s="2" t="s">
        <v>132</v>
      </c>
      <c r="H87" s="7">
        <v>2200</v>
      </c>
    </row>
    <row r="88" spans="1:8">
      <c r="A88" s="2" t="s">
        <v>29</v>
      </c>
      <c r="B88" s="2" t="s">
        <v>72</v>
      </c>
      <c r="C88" s="2">
        <v>2023</v>
      </c>
      <c r="D88" s="2">
        <v>190</v>
      </c>
      <c r="E88" s="2">
        <v>490</v>
      </c>
      <c r="F88" s="7">
        <v>75590</v>
      </c>
      <c r="G88" s="2" t="s">
        <v>134</v>
      </c>
      <c r="H88" s="7">
        <v>1000</v>
      </c>
    </row>
    <row r="89" spans="1:8">
      <c r="A89" s="2" t="s">
        <v>27</v>
      </c>
      <c r="B89" s="2" t="s">
        <v>71</v>
      </c>
      <c r="C89" s="2">
        <v>2023</v>
      </c>
      <c r="D89" s="2">
        <v>130</v>
      </c>
      <c r="E89" s="2">
        <v>300</v>
      </c>
      <c r="F89" s="7">
        <v>37775</v>
      </c>
      <c r="G89" s="2" t="s">
        <v>131</v>
      </c>
      <c r="H89" s="7">
        <v>1800</v>
      </c>
    </row>
    <row r="90" spans="1:8">
      <c r="A90" s="2" t="s">
        <v>34</v>
      </c>
      <c r="B90" s="2" t="s">
        <v>100</v>
      </c>
      <c r="C90" s="2">
        <v>2023</v>
      </c>
      <c r="D90" s="2">
        <v>130</v>
      </c>
      <c r="E90" s="2">
        <v>228</v>
      </c>
      <c r="F90" s="7">
        <v>33900</v>
      </c>
      <c r="G90" s="2" t="s">
        <v>133</v>
      </c>
      <c r="H90" s="7">
        <v>1600</v>
      </c>
    </row>
    <row r="91" spans="1:8">
      <c r="A91" s="2" t="s">
        <v>32</v>
      </c>
      <c r="B91" s="2" t="s">
        <v>111</v>
      </c>
      <c r="C91" s="2">
        <v>2023</v>
      </c>
      <c r="D91" s="2">
        <v>115</v>
      </c>
      <c r="E91" s="2">
        <v>121</v>
      </c>
      <c r="F91" s="7">
        <v>20400</v>
      </c>
      <c r="G91" s="2" t="s">
        <v>132</v>
      </c>
      <c r="H91" s="7">
        <v>2300</v>
      </c>
    </row>
    <row r="92" spans="1:8">
      <c r="A92" s="2" t="s">
        <v>44</v>
      </c>
      <c r="B92" s="2" t="s">
        <v>112</v>
      </c>
      <c r="C92" s="2">
        <v>2023</v>
      </c>
      <c r="D92" s="2">
        <v>120</v>
      </c>
      <c r="E92" s="2">
        <v>300</v>
      </c>
      <c r="F92" s="7">
        <v>47700</v>
      </c>
      <c r="G92" s="2" t="s">
        <v>131</v>
      </c>
      <c r="H92" s="2">
        <v>900</v>
      </c>
    </row>
    <row r="93" spans="1:8">
      <c r="A93" s="2" t="s">
        <v>29</v>
      </c>
      <c r="B93" s="2" t="s">
        <v>61</v>
      </c>
      <c r="C93" s="2">
        <v>2023</v>
      </c>
      <c r="D93" s="2">
        <v>155</v>
      </c>
      <c r="E93" s="2">
        <v>275</v>
      </c>
      <c r="F93" s="7">
        <v>25000</v>
      </c>
      <c r="G93" s="2" t="s">
        <v>133</v>
      </c>
      <c r="H93" s="7">
        <v>1600</v>
      </c>
    </row>
    <row r="94" spans="1:8">
      <c r="A94" s="2" t="s">
        <v>28</v>
      </c>
      <c r="B94" s="2" t="s">
        <v>113</v>
      </c>
      <c r="C94" s="2">
        <v>2023</v>
      </c>
      <c r="D94" s="2">
        <v>115</v>
      </c>
      <c r="E94" s="2">
        <v>128</v>
      </c>
      <c r="F94" s="7">
        <v>17600</v>
      </c>
      <c r="G94" s="2" t="s">
        <v>132</v>
      </c>
      <c r="H94" s="7">
        <v>2400</v>
      </c>
    </row>
    <row r="95" spans="1:8">
      <c r="A95" s="2" t="s">
        <v>27</v>
      </c>
      <c r="B95" s="2" t="s">
        <v>114</v>
      </c>
      <c r="C95" s="2">
        <v>2023</v>
      </c>
      <c r="D95" s="2">
        <v>130</v>
      </c>
      <c r="E95" s="2">
        <v>191</v>
      </c>
      <c r="F95" s="7">
        <v>21820</v>
      </c>
      <c r="G95" s="2" t="s">
        <v>131</v>
      </c>
      <c r="H95" s="7">
        <v>1700</v>
      </c>
    </row>
    <row r="96" spans="1:8">
      <c r="A96" s="2" t="s">
        <v>26</v>
      </c>
      <c r="B96" s="2" t="s">
        <v>48</v>
      </c>
      <c r="C96" s="2">
        <v>2023</v>
      </c>
      <c r="D96" s="2">
        <v>120</v>
      </c>
      <c r="E96" s="2">
        <v>206</v>
      </c>
      <c r="F96" s="7">
        <v>26170</v>
      </c>
      <c r="G96" s="2" t="s">
        <v>133</v>
      </c>
      <c r="H96" s="7">
        <v>1600</v>
      </c>
    </row>
    <row r="97" spans="1:8">
      <c r="A97" s="2" t="s">
        <v>37</v>
      </c>
      <c r="B97" s="2" t="s">
        <v>115</v>
      </c>
      <c r="C97" s="2">
        <v>2023</v>
      </c>
      <c r="D97" s="2">
        <v>115</v>
      </c>
      <c r="E97" s="2">
        <v>147</v>
      </c>
      <c r="F97" s="7">
        <v>21490</v>
      </c>
      <c r="G97" s="2" t="s">
        <v>132</v>
      </c>
      <c r="H97" s="7">
        <v>2200</v>
      </c>
    </row>
    <row r="98" spans="1:8">
      <c r="A98" s="2" t="s">
        <v>29</v>
      </c>
      <c r="B98" s="2" t="s">
        <v>72</v>
      </c>
      <c r="C98" s="2">
        <v>2023</v>
      </c>
      <c r="D98" s="2">
        <v>190</v>
      </c>
      <c r="E98" s="2">
        <v>490</v>
      </c>
      <c r="F98" s="7">
        <v>75590</v>
      </c>
      <c r="G98" s="2" t="s">
        <v>134</v>
      </c>
      <c r="H98" s="7">
        <v>1000</v>
      </c>
    </row>
    <row r="99" spans="1:8">
      <c r="A99" s="2" t="s">
        <v>27</v>
      </c>
      <c r="B99" s="2" t="s">
        <v>71</v>
      </c>
      <c r="C99" s="2">
        <v>2023</v>
      </c>
      <c r="D99" s="2">
        <v>130</v>
      </c>
      <c r="E99" s="2">
        <v>300</v>
      </c>
      <c r="F99" s="7">
        <v>37775</v>
      </c>
      <c r="G99" s="2" t="s">
        <v>131</v>
      </c>
      <c r="H99" s="7">
        <v>1800</v>
      </c>
    </row>
    <row r="100" spans="1:8">
      <c r="A100" s="2" t="s">
        <v>34</v>
      </c>
      <c r="B100" s="2" t="s">
        <v>100</v>
      </c>
      <c r="C100" s="2">
        <v>2023</v>
      </c>
      <c r="D100" s="2">
        <v>130</v>
      </c>
      <c r="E100" s="2">
        <v>228</v>
      </c>
      <c r="F100" s="7">
        <v>33900</v>
      </c>
      <c r="G100" s="2" t="s">
        <v>133</v>
      </c>
      <c r="H100" s="7">
        <v>1600</v>
      </c>
    </row>
    <row r="101" spans="1:8">
      <c r="A101" s="2" t="s">
        <v>32</v>
      </c>
      <c r="B101" s="2" t="s">
        <v>111</v>
      </c>
      <c r="C101" s="2">
        <v>2023</v>
      </c>
      <c r="D101" s="2">
        <v>115</v>
      </c>
      <c r="E101" s="2">
        <v>121</v>
      </c>
      <c r="F101" s="7">
        <v>20400</v>
      </c>
      <c r="G101" s="2" t="s">
        <v>132</v>
      </c>
      <c r="H101" s="7">
        <v>2300</v>
      </c>
    </row>
    <row r="102" spans="1:8">
      <c r="A102" s="2" t="s">
        <v>44</v>
      </c>
      <c r="B102" s="2" t="s">
        <v>112</v>
      </c>
      <c r="C102" s="2">
        <v>2023</v>
      </c>
      <c r="D102" s="2">
        <v>120</v>
      </c>
      <c r="E102" s="2">
        <v>300</v>
      </c>
      <c r="F102" s="7">
        <v>47700</v>
      </c>
      <c r="G102" s="2" t="s">
        <v>131</v>
      </c>
      <c r="H102" s="2">
        <v>900</v>
      </c>
    </row>
    <row r="103" spans="1:8">
      <c r="A103" s="2" t="s">
        <v>29</v>
      </c>
      <c r="B103" s="2" t="s">
        <v>61</v>
      </c>
      <c r="C103" s="2">
        <v>2023</v>
      </c>
      <c r="D103" s="2">
        <v>155</v>
      </c>
      <c r="E103" s="2">
        <v>275</v>
      </c>
      <c r="F103" s="7">
        <v>25000</v>
      </c>
      <c r="G103" s="2" t="s">
        <v>133</v>
      </c>
      <c r="H103" s="7">
        <v>1600</v>
      </c>
    </row>
    <row r="104" spans="1:8">
      <c r="A104" s="2" t="s">
        <v>28</v>
      </c>
      <c r="B104" s="2" t="s">
        <v>113</v>
      </c>
      <c r="C104" s="2">
        <v>2023</v>
      </c>
      <c r="D104" s="2">
        <v>115</v>
      </c>
      <c r="E104" s="2">
        <v>128</v>
      </c>
      <c r="F104" s="7">
        <v>17600</v>
      </c>
      <c r="G104" s="2" t="s">
        <v>132</v>
      </c>
      <c r="H104" s="7">
        <v>2400</v>
      </c>
    </row>
    <row r="105" spans="1:8">
      <c r="A105" s="2" t="s">
        <v>27</v>
      </c>
      <c r="B105" s="2" t="s">
        <v>114</v>
      </c>
      <c r="C105" s="2">
        <v>2023</v>
      </c>
      <c r="D105" s="2">
        <v>130</v>
      </c>
      <c r="E105" s="2">
        <v>191</v>
      </c>
      <c r="F105" s="7">
        <v>21820</v>
      </c>
      <c r="G105" s="2"/>
      <c r="H105" s="7">
        <v>1700</v>
      </c>
    </row>
    <row r="106" spans="1:8">
      <c r="A106" s="2" t="s">
        <v>26</v>
      </c>
      <c r="B106" s="2" t="s">
        <v>48</v>
      </c>
      <c r="C106" s="2">
        <v>2023</v>
      </c>
      <c r="D106" s="2">
        <v>120</v>
      </c>
      <c r="E106" s="2">
        <v>206</v>
      </c>
      <c r="F106" s="7">
        <v>26170</v>
      </c>
      <c r="G106" s="2" t="s">
        <v>133</v>
      </c>
      <c r="H106" s="7">
        <v>1600</v>
      </c>
    </row>
    <row r="107" spans="1:8">
      <c r="A107" s="2" t="s">
        <v>37</v>
      </c>
      <c r="B107" s="2" t="s">
        <v>115</v>
      </c>
      <c r="C107" s="2">
        <v>2023</v>
      </c>
      <c r="D107" s="2">
        <v>115</v>
      </c>
      <c r="E107" s="2">
        <v>147</v>
      </c>
      <c r="F107" s="7">
        <v>21490</v>
      </c>
      <c r="G107" s="2" t="s">
        <v>132</v>
      </c>
      <c r="H107" s="7">
        <v>2200</v>
      </c>
    </row>
    <row r="108" spans="1:8">
      <c r="A108" s="2" t="s">
        <v>29</v>
      </c>
      <c r="B108" s="2" t="s">
        <v>72</v>
      </c>
      <c r="C108" s="2">
        <v>2023</v>
      </c>
      <c r="D108" s="2">
        <v>190</v>
      </c>
      <c r="E108" s="2">
        <v>490</v>
      </c>
      <c r="F108" s="7">
        <v>75590</v>
      </c>
      <c r="G108" s="2" t="s">
        <v>134</v>
      </c>
      <c r="H108" s="7">
        <v>1000</v>
      </c>
    </row>
    <row r="109" spans="1:8">
      <c r="A109" s="2" t="s">
        <v>27</v>
      </c>
      <c r="B109" s="2" t="s">
        <v>71</v>
      </c>
      <c r="C109" s="2">
        <v>2023</v>
      </c>
      <c r="D109" s="2">
        <v>130</v>
      </c>
      <c r="E109" s="2">
        <v>300</v>
      </c>
      <c r="F109" s="7">
        <v>37775</v>
      </c>
      <c r="G109" s="2" t="s">
        <v>131</v>
      </c>
      <c r="H109" s="7">
        <v>1800</v>
      </c>
    </row>
    <row r="110" spans="1:8">
      <c r="A110" s="2" t="s">
        <v>34</v>
      </c>
      <c r="B110" s="2" t="s">
        <v>100</v>
      </c>
      <c r="C110" s="2">
        <v>2023</v>
      </c>
      <c r="D110" s="2">
        <v>130</v>
      </c>
      <c r="E110" s="2">
        <v>228</v>
      </c>
      <c r="F110" s="7">
        <v>33900</v>
      </c>
      <c r="G110" s="2" t="s">
        <v>133</v>
      </c>
      <c r="H110" s="7">
        <v>1600</v>
      </c>
    </row>
    <row r="111" spans="1:8">
      <c r="A111" s="2" t="s">
        <v>32</v>
      </c>
      <c r="B111" s="2" t="s">
        <v>111</v>
      </c>
      <c r="C111" s="2">
        <v>2023</v>
      </c>
      <c r="D111" s="2">
        <v>115</v>
      </c>
      <c r="E111" s="2">
        <v>121</v>
      </c>
      <c r="F111" s="7">
        <v>20400</v>
      </c>
      <c r="G111" s="2" t="s">
        <v>132</v>
      </c>
      <c r="H111" s="7">
        <v>2300</v>
      </c>
    </row>
    <row r="112" spans="1:8">
      <c r="A112" s="2" t="s">
        <v>44</v>
      </c>
      <c r="B112" s="2" t="s">
        <v>112</v>
      </c>
      <c r="C112" s="2">
        <v>2023</v>
      </c>
      <c r="D112" s="2">
        <v>120</v>
      </c>
      <c r="E112" s="2">
        <v>300</v>
      </c>
      <c r="F112" s="7">
        <v>47700</v>
      </c>
      <c r="G112" s="2"/>
      <c r="H112" s="2">
        <v>900</v>
      </c>
    </row>
    <row r="113" spans="1:8">
      <c r="A113" s="2" t="s">
        <v>29</v>
      </c>
      <c r="B113" s="2" t="s">
        <v>61</v>
      </c>
      <c r="C113" s="2">
        <v>2023</v>
      </c>
      <c r="D113" s="2">
        <v>155</v>
      </c>
      <c r="E113" s="2">
        <v>275</v>
      </c>
      <c r="F113" s="7">
        <v>25000</v>
      </c>
      <c r="G113" s="2" t="s">
        <v>133</v>
      </c>
      <c r="H113" s="7">
        <v>1600</v>
      </c>
    </row>
    <row r="114" spans="1:8">
      <c r="A114" s="2" t="s">
        <v>28</v>
      </c>
      <c r="B114" s="2" t="s">
        <v>113</v>
      </c>
      <c r="C114" s="2">
        <v>2023</v>
      </c>
      <c r="D114" s="2">
        <v>115</v>
      </c>
      <c r="E114" s="2">
        <v>128</v>
      </c>
      <c r="F114" s="7">
        <v>17600</v>
      </c>
      <c r="G114" s="2" t="s">
        <v>132</v>
      </c>
      <c r="H114" s="7">
        <v>2400</v>
      </c>
    </row>
    <row r="115" spans="1:8">
      <c r="A115" s="2" t="s">
        <v>27</v>
      </c>
      <c r="B115" s="2" t="s">
        <v>114</v>
      </c>
      <c r="C115" s="2">
        <v>2023</v>
      </c>
      <c r="D115" s="2">
        <v>130</v>
      </c>
      <c r="E115" s="2">
        <v>191</v>
      </c>
      <c r="F115" s="7">
        <v>21820</v>
      </c>
      <c r="G115" s="2" t="s">
        <v>131</v>
      </c>
      <c r="H115" s="7">
        <v>1700</v>
      </c>
    </row>
    <row r="116" spans="1:8">
      <c r="A116" s="2" t="s">
        <v>26</v>
      </c>
      <c r="B116" s="2" t="s">
        <v>48</v>
      </c>
      <c r="C116" s="2">
        <v>2023</v>
      </c>
      <c r="D116" s="2">
        <v>120</v>
      </c>
      <c r="E116" s="2">
        <v>206</v>
      </c>
      <c r="F116" s="7">
        <v>26170</v>
      </c>
      <c r="G116" s="2" t="s">
        <v>133</v>
      </c>
      <c r="H116" s="7">
        <v>1600</v>
      </c>
    </row>
    <row r="117" spans="1:8">
      <c r="A117" s="2" t="s">
        <v>37</v>
      </c>
      <c r="B117" s="2" t="s">
        <v>115</v>
      </c>
      <c r="C117" s="2">
        <v>2023</v>
      </c>
      <c r="D117" s="2">
        <v>115</v>
      </c>
      <c r="E117" s="2">
        <v>147</v>
      </c>
      <c r="F117" s="7">
        <v>21490</v>
      </c>
      <c r="G117" s="2" t="s">
        <v>132</v>
      </c>
      <c r="H117" s="7">
        <v>2200</v>
      </c>
    </row>
    <row r="118" spans="1:8">
      <c r="A118" s="2" t="s">
        <v>29</v>
      </c>
      <c r="B118" s="2" t="s">
        <v>72</v>
      </c>
      <c r="C118" s="2">
        <v>2023</v>
      </c>
      <c r="D118" s="2">
        <v>190</v>
      </c>
      <c r="E118" s="2">
        <v>490</v>
      </c>
      <c r="F118" s="7">
        <v>75590</v>
      </c>
      <c r="G118" s="2" t="s">
        <v>134</v>
      </c>
      <c r="H118" s="7">
        <v>1000</v>
      </c>
    </row>
    <row r="119" spans="1:8">
      <c r="A119" s="2" t="s">
        <v>27</v>
      </c>
      <c r="B119" s="2" t="s">
        <v>71</v>
      </c>
      <c r="C119" s="2">
        <v>2023</v>
      </c>
      <c r="D119" s="2">
        <v>130</v>
      </c>
      <c r="E119" s="2">
        <v>300</v>
      </c>
      <c r="F119" s="7">
        <v>37775</v>
      </c>
      <c r="G119" s="2" t="s">
        <v>131</v>
      </c>
      <c r="H119" s="7">
        <v>1800</v>
      </c>
    </row>
    <row r="120" spans="1:8">
      <c r="A120" s="2" t="s">
        <v>34</v>
      </c>
      <c r="B120" s="2" t="s">
        <v>100</v>
      </c>
      <c r="C120" s="2">
        <v>2023</v>
      </c>
      <c r="D120" s="2">
        <v>130</v>
      </c>
      <c r="E120" s="2">
        <v>228</v>
      </c>
      <c r="F120" s="7">
        <v>33900</v>
      </c>
      <c r="G120" s="2" t="s">
        <v>133</v>
      </c>
      <c r="H120" s="7">
        <v>1600</v>
      </c>
    </row>
    <row r="121" spans="1:8">
      <c r="A121" s="2" t="s">
        <v>32</v>
      </c>
      <c r="B121" s="2" t="s">
        <v>111</v>
      </c>
      <c r="C121" s="2">
        <v>2023</v>
      </c>
      <c r="D121" s="2">
        <v>115</v>
      </c>
      <c r="E121" s="2">
        <v>121</v>
      </c>
      <c r="F121" s="7">
        <v>20400</v>
      </c>
      <c r="G121" s="2"/>
      <c r="H121" s="7">
        <v>2300</v>
      </c>
    </row>
    <row r="122" spans="1:8">
      <c r="A122" s="2" t="s">
        <v>44</v>
      </c>
      <c r="B122" s="2" t="s">
        <v>112</v>
      </c>
      <c r="C122" s="2">
        <v>2023</v>
      </c>
      <c r="D122" s="2">
        <v>120</v>
      </c>
      <c r="E122" s="2">
        <v>300</v>
      </c>
      <c r="F122" s="7">
        <v>47700</v>
      </c>
      <c r="G122" s="2" t="s">
        <v>131</v>
      </c>
      <c r="H122" s="2">
        <v>900</v>
      </c>
    </row>
    <row r="123" spans="1:8">
      <c r="A123" s="2" t="s">
        <v>29</v>
      </c>
      <c r="B123" s="2" t="s">
        <v>61</v>
      </c>
      <c r="C123" s="2">
        <v>2023</v>
      </c>
      <c r="D123" s="2">
        <v>155</v>
      </c>
      <c r="E123" s="2">
        <v>275</v>
      </c>
      <c r="F123" s="7">
        <v>25000</v>
      </c>
      <c r="G123" s="2" t="s">
        <v>133</v>
      </c>
      <c r="H123" s="7">
        <v>1600</v>
      </c>
    </row>
    <row r="124" spans="1:8">
      <c r="A124" s="2" t="s">
        <v>28</v>
      </c>
      <c r="B124" s="2" t="s">
        <v>113</v>
      </c>
      <c r="C124" s="2">
        <v>2023</v>
      </c>
      <c r="D124" s="2">
        <v>115</v>
      </c>
      <c r="E124" s="2">
        <v>128</v>
      </c>
      <c r="F124" s="7">
        <v>17600</v>
      </c>
      <c r="G124" s="2" t="s">
        <v>132</v>
      </c>
      <c r="H124" s="7">
        <v>2400</v>
      </c>
    </row>
    <row r="125" spans="1:8">
      <c r="A125" s="2" t="s">
        <v>27</v>
      </c>
      <c r="B125" s="2" t="s">
        <v>114</v>
      </c>
      <c r="C125" s="2">
        <v>2023</v>
      </c>
      <c r="D125" s="2">
        <v>130</v>
      </c>
      <c r="E125" s="2">
        <v>191</v>
      </c>
      <c r="F125" s="7">
        <v>21820</v>
      </c>
      <c r="G125" s="2" t="s">
        <v>131</v>
      </c>
      <c r="H125" s="7">
        <v>1700</v>
      </c>
    </row>
    <row r="126" spans="1:8">
      <c r="A126" s="2" t="s">
        <v>26</v>
      </c>
      <c r="B126" s="2" t="s">
        <v>48</v>
      </c>
      <c r="C126" s="2">
        <v>2023</v>
      </c>
      <c r="D126" s="2">
        <v>120</v>
      </c>
      <c r="E126" s="2">
        <v>206</v>
      </c>
      <c r="F126" s="7">
        <v>26170</v>
      </c>
      <c r="G126" s="2" t="s">
        <v>133</v>
      </c>
      <c r="H126" s="7">
        <v>1600</v>
      </c>
    </row>
    <row r="127" spans="1:8">
      <c r="A127" s="2" t="s">
        <v>37</v>
      </c>
      <c r="B127" s="2" t="s">
        <v>115</v>
      </c>
      <c r="C127" s="2">
        <v>2023</v>
      </c>
      <c r="D127" s="2">
        <v>115</v>
      </c>
      <c r="E127" s="2">
        <v>147</v>
      </c>
      <c r="F127" s="7">
        <v>21490</v>
      </c>
      <c r="G127" s="2" t="s">
        <v>132</v>
      </c>
      <c r="H127" s="7">
        <v>2200</v>
      </c>
    </row>
    <row r="128" spans="1:8">
      <c r="A128" s="2" t="s">
        <v>29</v>
      </c>
      <c r="B128" s="2" t="s">
        <v>72</v>
      </c>
      <c r="C128" s="2">
        <v>2023</v>
      </c>
      <c r="D128" s="2">
        <v>190</v>
      </c>
      <c r="E128" s="2">
        <v>490</v>
      </c>
      <c r="F128" s="7">
        <v>75590</v>
      </c>
      <c r="G128" s="2" t="s">
        <v>134</v>
      </c>
      <c r="H128" s="7">
        <v>1000</v>
      </c>
    </row>
    <row r="129" spans="1:8">
      <c r="A129" s="2" t="s">
        <v>27</v>
      </c>
      <c r="B129" s="2" t="s">
        <v>71</v>
      </c>
      <c r="C129" s="2">
        <v>2023</v>
      </c>
      <c r="D129" s="2">
        <v>130</v>
      </c>
      <c r="E129" s="2">
        <v>300</v>
      </c>
      <c r="F129" s="7">
        <v>37775</v>
      </c>
      <c r="G129" s="2"/>
      <c r="H129" s="7">
        <v>1800</v>
      </c>
    </row>
    <row r="130" spans="1:8">
      <c r="A130" s="2" t="s">
        <v>39</v>
      </c>
      <c r="B130" s="2" t="s">
        <v>66</v>
      </c>
      <c r="C130" s="2">
        <v>2023</v>
      </c>
      <c r="D130" s="2">
        <v>110</v>
      </c>
      <c r="E130" s="2">
        <v>285</v>
      </c>
      <c r="F130" s="7">
        <v>33590</v>
      </c>
      <c r="G130" s="2" t="s">
        <v>133</v>
      </c>
      <c r="H130" s="7">
        <v>1600</v>
      </c>
    </row>
    <row r="131" spans="1:8">
      <c r="A131" s="2" t="s">
        <v>33</v>
      </c>
      <c r="B131" s="2" t="s">
        <v>116</v>
      </c>
      <c r="C131" s="2">
        <v>2023</v>
      </c>
      <c r="D131" s="2">
        <v>130</v>
      </c>
      <c r="E131" s="2">
        <v>261</v>
      </c>
      <c r="F131" s="7">
        <v>45000</v>
      </c>
      <c r="G131" s="2" t="s">
        <v>131</v>
      </c>
      <c r="H131" s="7">
        <v>1900</v>
      </c>
    </row>
    <row r="132" spans="1:8">
      <c r="A132" s="2" t="s">
        <v>35</v>
      </c>
      <c r="B132" s="2" t="s">
        <v>60</v>
      </c>
      <c r="C132" s="2">
        <v>2023</v>
      </c>
      <c r="D132" s="2">
        <v>135</v>
      </c>
      <c r="E132" s="2">
        <v>260</v>
      </c>
      <c r="F132" s="7">
        <v>27845</v>
      </c>
      <c r="G132" s="2" t="s">
        <v>133</v>
      </c>
      <c r="H132" s="7">
        <v>1400</v>
      </c>
    </row>
    <row r="133" spans="1:8">
      <c r="A133" s="2" t="s">
        <v>31</v>
      </c>
      <c r="B133" s="2" t="s">
        <v>53</v>
      </c>
      <c r="C133" s="2">
        <v>2023</v>
      </c>
      <c r="D133" s="2">
        <v>155</v>
      </c>
      <c r="E133" s="2">
        <v>389</v>
      </c>
      <c r="F133" s="7">
        <v>62695</v>
      </c>
      <c r="G133" s="2"/>
      <c r="H133" s="7">
        <v>1800</v>
      </c>
    </row>
    <row r="134" spans="1:8">
      <c r="A134" s="2" t="s">
        <v>30</v>
      </c>
      <c r="B134" s="2" t="s">
        <v>117</v>
      </c>
      <c r="C134" s="2">
        <v>2023</v>
      </c>
      <c r="D134" s="2">
        <v>130</v>
      </c>
      <c r="E134" s="2">
        <v>181</v>
      </c>
      <c r="F134" s="7">
        <v>23430</v>
      </c>
      <c r="G134" s="2" t="s">
        <v>132</v>
      </c>
      <c r="H134" s="7">
        <v>1700</v>
      </c>
    </row>
    <row r="135" spans="1:8">
      <c r="A135" s="2" t="s">
        <v>41</v>
      </c>
      <c r="B135" s="2" t="s">
        <v>118</v>
      </c>
      <c r="C135" s="2">
        <v>2023</v>
      </c>
      <c r="D135" s="2">
        <v>140</v>
      </c>
      <c r="E135" s="2">
        <v>248</v>
      </c>
      <c r="F135" s="7">
        <v>35700</v>
      </c>
      <c r="G135" s="2" t="s">
        <v>131</v>
      </c>
      <c r="H135" s="7">
        <v>1600</v>
      </c>
    </row>
    <row r="136" spans="1:8">
      <c r="A136" s="2" t="s">
        <v>36</v>
      </c>
      <c r="B136" s="2" t="s">
        <v>119</v>
      </c>
      <c r="C136" s="2">
        <v>2023</v>
      </c>
      <c r="D136" s="2">
        <v>120</v>
      </c>
      <c r="E136" s="2">
        <v>181</v>
      </c>
      <c r="F136" s="7">
        <v>27775</v>
      </c>
      <c r="G136" s="2" t="s">
        <v>133</v>
      </c>
      <c r="H136" s="7">
        <v>1000</v>
      </c>
    </row>
    <row r="137" spans="1:8">
      <c r="A137" s="2" t="s">
        <v>43</v>
      </c>
      <c r="B137" s="2" t="s">
        <v>120</v>
      </c>
      <c r="C137" s="2">
        <v>2023</v>
      </c>
      <c r="D137" s="2">
        <v>130</v>
      </c>
      <c r="E137" s="2">
        <v>302</v>
      </c>
      <c r="F137" s="7">
        <v>40325</v>
      </c>
      <c r="G137" s="2" t="s">
        <v>131</v>
      </c>
      <c r="H137" s="7">
        <v>1900</v>
      </c>
    </row>
    <row r="138" spans="1:8">
      <c r="A138" s="2" t="s">
        <v>35</v>
      </c>
      <c r="B138" s="2" t="s">
        <v>69</v>
      </c>
      <c r="C138" s="2">
        <v>2023</v>
      </c>
      <c r="D138" s="2">
        <v>130</v>
      </c>
      <c r="E138" s="2">
        <v>182</v>
      </c>
      <c r="F138" s="7">
        <v>25195</v>
      </c>
      <c r="G138" s="2" t="s">
        <v>133</v>
      </c>
      <c r="H138" s="7">
        <v>1500</v>
      </c>
    </row>
    <row r="139" spans="1:8">
      <c r="A139" s="2" t="s">
        <v>33</v>
      </c>
      <c r="B139" s="2" t="s">
        <v>76</v>
      </c>
      <c r="C139" s="2">
        <v>2023</v>
      </c>
      <c r="D139" s="2">
        <v>130</v>
      </c>
      <c r="E139" s="2">
        <v>261</v>
      </c>
      <c r="F139" s="7">
        <v>45600</v>
      </c>
      <c r="G139" s="2" t="s">
        <v>133</v>
      </c>
      <c r="H139" s="7">
        <v>2100</v>
      </c>
    </row>
    <row r="140" spans="1:8">
      <c r="A140" s="2" t="s">
        <v>32</v>
      </c>
      <c r="B140" s="2" t="s">
        <v>121</v>
      </c>
      <c r="C140" s="2">
        <v>2023</v>
      </c>
      <c r="D140" s="2">
        <v>130</v>
      </c>
      <c r="E140" s="2">
        <v>191</v>
      </c>
      <c r="F140" s="7">
        <v>27700</v>
      </c>
      <c r="G140" s="2" t="s">
        <v>132</v>
      </c>
      <c r="H140" s="7">
        <v>1700</v>
      </c>
    </row>
    <row r="141" spans="1:8">
      <c r="A141" s="2" t="s">
        <v>45</v>
      </c>
      <c r="B141" s="2" t="s">
        <v>122</v>
      </c>
      <c r="C141" s="2">
        <v>2023</v>
      </c>
      <c r="D141" s="2">
        <v>135</v>
      </c>
      <c r="E141" s="2">
        <v>272</v>
      </c>
      <c r="F141" s="7">
        <v>39000</v>
      </c>
      <c r="G141" s="2" t="s">
        <v>133</v>
      </c>
      <c r="H141" s="7">
        <v>1900</v>
      </c>
    </row>
    <row r="142" spans="1:8">
      <c r="A142" s="2" t="s">
        <v>36</v>
      </c>
      <c r="B142" s="2" t="s">
        <v>94</v>
      </c>
      <c r="C142" s="2">
        <v>2023</v>
      </c>
      <c r="D142" s="2">
        <v>130</v>
      </c>
      <c r="E142" s="2">
        <v>187</v>
      </c>
      <c r="F142" s="7">
        <v>24325</v>
      </c>
      <c r="G142" s="2" t="s">
        <v>133</v>
      </c>
      <c r="H142" s="7">
        <v>1200</v>
      </c>
    </row>
    <row r="143" spans="1:8">
      <c r="A143" s="2" t="s">
        <v>43</v>
      </c>
      <c r="B143" s="2" t="s">
        <v>92</v>
      </c>
      <c r="C143" s="2">
        <v>2023</v>
      </c>
      <c r="D143" s="2">
        <v>130</v>
      </c>
      <c r="E143" s="2">
        <v>290</v>
      </c>
      <c r="F143" s="7">
        <v>48500</v>
      </c>
      <c r="G143" s="2" t="s">
        <v>131</v>
      </c>
      <c r="H143" s="7">
        <v>1800</v>
      </c>
    </row>
    <row r="144" spans="1:8">
      <c r="A144" s="2" t="s">
        <v>37</v>
      </c>
      <c r="B144" s="2" t="s">
        <v>99</v>
      </c>
      <c r="C144" s="2">
        <v>2023</v>
      </c>
      <c r="D144" s="2">
        <v>130</v>
      </c>
      <c r="E144" s="2">
        <v>181</v>
      </c>
      <c r="F144" s="7">
        <v>25000</v>
      </c>
      <c r="G144" s="2" t="s">
        <v>132</v>
      </c>
      <c r="H144" s="7">
        <v>2000</v>
      </c>
    </row>
    <row r="145" spans="1:8">
      <c r="A145" s="2" t="s">
        <v>31</v>
      </c>
      <c r="B145" s="2" t="s">
        <v>93</v>
      </c>
      <c r="C145" s="2">
        <v>2023</v>
      </c>
      <c r="D145" s="2">
        <v>130</v>
      </c>
      <c r="E145" s="2">
        <v>248</v>
      </c>
      <c r="F145" s="7">
        <v>54200</v>
      </c>
      <c r="G145" s="2" t="s">
        <v>131</v>
      </c>
      <c r="H145" s="7">
        <v>2200</v>
      </c>
    </row>
    <row r="146" spans="1:8">
      <c r="A146" s="2" t="s">
        <v>27</v>
      </c>
      <c r="B146" s="2" t="s">
        <v>62</v>
      </c>
      <c r="C146" s="2">
        <v>2023</v>
      </c>
      <c r="D146" s="2">
        <v>130</v>
      </c>
      <c r="E146" s="2">
        <v>181</v>
      </c>
      <c r="F146" s="7">
        <v>27650</v>
      </c>
      <c r="G146" s="2" t="s">
        <v>132</v>
      </c>
      <c r="H146" s="7">
        <v>1500</v>
      </c>
    </row>
    <row r="147" spans="1:8">
      <c r="A147" s="2" t="s">
        <v>46</v>
      </c>
      <c r="B147" s="2" t="s">
        <v>123</v>
      </c>
      <c r="C147" s="2">
        <v>2023</v>
      </c>
      <c r="D147" s="2">
        <v>135</v>
      </c>
      <c r="E147" s="2">
        <v>268</v>
      </c>
      <c r="F147" s="7">
        <v>40100</v>
      </c>
      <c r="G147" s="2" t="s">
        <v>133</v>
      </c>
      <c r="H147" s="7">
        <v>1800</v>
      </c>
    </row>
    <row r="148" spans="1:8">
      <c r="A148" s="2" t="s">
        <v>30</v>
      </c>
      <c r="B148" s="2" t="s">
        <v>81</v>
      </c>
      <c r="C148" s="2">
        <v>2023</v>
      </c>
      <c r="D148" s="2">
        <v>120</v>
      </c>
      <c r="E148" s="2">
        <v>284</v>
      </c>
      <c r="F148" s="7">
        <v>33410</v>
      </c>
      <c r="G148" s="2" t="s">
        <v>132</v>
      </c>
      <c r="H148" s="7">
        <v>1600</v>
      </c>
    </row>
    <row r="149" spans="1:8">
      <c r="A149" s="2" t="s">
        <v>41</v>
      </c>
      <c r="B149" s="2" t="s">
        <v>68</v>
      </c>
      <c r="C149" s="2">
        <v>2023</v>
      </c>
      <c r="D149" s="2">
        <v>140</v>
      </c>
      <c r="E149" s="2">
        <v>250</v>
      </c>
      <c r="F149" s="7">
        <v>42400</v>
      </c>
      <c r="G149" s="2" t="s">
        <v>131</v>
      </c>
      <c r="H149" s="7">
        <v>1800</v>
      </c>
    </row>
    <row r="150" spans="1:8">
      <c r="A150" s="2" t="s">
        <v>35</v>
      </c>
      <c r="B150" s="2" t="s">
        <v>91</v>
      </c>
      <c r="C150" s="2">
        <v>2023</v>
      </c>
      <c r="D150" s="2">
        <v>130</v>
      </c>
      <c r="E150" s="2">
        <v>182</v>
      </c>
      <c r="F150" s="7">
        <v>22995</v>
      </c>
      <c r="G150" s="2" t="s">
        <v>133</v>
      </c>
      <c r="H150" s="7">
        <v>1500</v>
      </c>
    </row>
    <row r="151" spans="1:8">
      <c r="A151" s="2" t="s">
        <v>45</v>
      </c>
      <c r="B151" s="2" t="s">
        <v>124</v>
      </c>
      <c r="C151" s="2">
        <v>2023</v>
      </c>
      <c r="D151" s="2">
        <v>130</v>
      </c>
      <c r="E151" s="2">
        <v>290</v>
      </c>
      <c r="F151" s="7">
        <v>46900</v>
      </c>
      <c r="G151" s="2" t="s">
        <v>133</v>
      </c>
      <c r="H151" s="7">
        <v>2100</v>
      </c>
    </row>
    <row r="152" spans="1:8">
      <c r="A152" s="2" t="s">
        <v>36</v>
      </c>
      <c r="B152" s="2" t="s">
        <v>63</v>
      </c>
      <c r="C152" s="2">
        <v>2023</v>
      </c>
      <c r="D152" s="2">
        <v>130</v>
      </c>
      <c r="E152" s="2">
        <v>187</v>
      </c>
      <c r="F152" s="7">
        <v>55000</v>
      </c>
      <c r="G152" s="2" t="s">
        <v>136</v>
      </c>
      <c r="H152" s="7">
        <v>2340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>
      <selection activeCell="M5" sqref="M5"/>
    </sheetView>
  </sheetViews>
  <sheetFormatPr defaultRowHeight="15"/>
  <cols>
    <col min="2" max="2" width="22.5703125" customWidth="1"/>
    <col min="3" max="3" width="10.5703125" customWidth="1"/>
    <col min="12" max="12" width="21" customWidth="1"/>
  </cols>
  <sheetData>
    <row r="1" spans="2:16">
      <c r="B1" s="19"/>
      <c r="C1" s="9"/>
      <c r="D1" s="20" t="s">
        <v>144</v>
      </c>
      <c r="E1" s="21"/>
      <c r="F1" s="21"/>
      <c r="K1" s="11">
        <v>1</v>
      </c>
      <c r="L1" s="10" t="s">
        <v>310</v>
      </c>
      <c r="M1" s="9"/>
      <c r="N1" s="9"/>
      <c r="O1" s="9"/>
      <c r="P1" s="9"/>
    </row>
    <row r="2" spans="2:16">
      <c r="B2" s="18" t="s">
        <v>149</v>
      </c>
      <c r="C2" s="18" t="s">
        <v>150</v>
      </c>
      <c r="D2" s="18" t="s">
        <v>145</v>
      </c>
      <c r="E2" s="18" t="s">
        <v>147</v>
      </c>
      <c r="F2" s="18" t="s">
        <v>148</v>
      </c>
      <c r="K2" s="22"/>
      <c r="L2" s="22"/>
      <c r="M2" s="9"/>
      <c r="N2" s="9"/>
      <c r="O2" s="9"/>
      <c r="P2" s="9"/>
    </row>
    <row r="3" spans="2:16">
      <c r="B3" s="12" t="s">
        <v>309</v>
      </c>
      <c r="C3" s="12" t="s">
        <v>151</v>
      </c>
      <c r="D3" s="14">
        <v>3419</v>
      </c>
      <c r="E3" s="14">
        <v>4378</v>
      </c>
      <c r="F3" s="15">
        <v>2755</v>
      </c>
      <c r="K3" s="9"/>
      <c r="L3" s="11" t="s">
        <v>144</v>
      </c>
      <c r="M3" s="18" t="s">
        <v>145</v>
      </c>
      <c r="N3" s="18" t="s">
        <v>147</v>
      </c>
      <c r="O3" s="18" t="s">
        <v>148</v>
      </c>
      <c r="P3" s="9"/>
    </row>
    <row r="4" spans="2:16">
      <c r="B4" s="12" t="s">
        <v>309</v>
      </c>
      <c r="C4" s="12" t="s">
        <v>152</v>
      </c>
      <c r="D4" s="14">
        <v>1492</v>
      </c>
      <c r="E4" s="14">
        <v>2126</v>
      </c>
      <c r="F4" s="15">
        <v>2103</v>
      </c>
      <c r="K4" s="9"/>
      <c r="L4" s="10" t="s">
        <v>146</v>
      </c>
      <c r="M4" s="13">
        <f>SUM(D2:D160)</f>
        <v>99498</v>
      </c>
      <c r="N4" s="13">
        <f>SUM(E2:E160)</f>
        <v>211409</v>
      </c>
      <c r="O4" s="13">
        <f>SUM(F2:F160)</f>
        <v>127820</v>
      </c>
      <c r="P4" s="9"/>
    </row>
    <row r="5" spans="2:16">
      <c r="B5" s="12" t="s">
        <v>309</v>
      </c>
      <c r="C5" s="12" t="s">
        <v>153</v>
      </c>
      <c r="D5" s="14">
        <v>1371</v>
      </c>
      <c r="E5" s="14">
        <v>1930</v>
      </c>
      <c r="F5" s="15">
        <v>1823</v>
      </c>
      <c r="K5" s="22"/>
      <c r="L5" s="22"/>
      <c r="M5" s="9"/>
      <c r="N5" s="9"/>
      <c r="O5" s="9"/>
      <c r="P5" s="9"/>
    </row>
    <row r="6" spans="2:16">
      <c r="B6" s="12" t="s">
        <v>309</v>
      </c>
      <c r="C6" s="12" t="s">
        <v>154</v>
      </c>
      <c r="D6" s="14">
        <v>1607</v>
      </c>
      <c r="E6" s="14">
        <v>2133</v>
      </c>
      <c r="F6" s="15">
        <v>2102</v>
      </c>
      <c r="K6" s="22"/>
      <c r="L6" s="22"/>
      <c r="N6" s="9"/>
      <c r="O6" s="9"/>
      <c r="P6" s="9"/>
    </row>
    <row r="7" spans="2:16">
      <c r="B7" s="12" t="s">
        <v>309</v>
      </c>
      <c r="C7" s="12" t="s">
        <v>155</v>
      </c>
      <c r="D7" s="16">
        <v>951</v>
      </c>
      <c r="E7" s="14">
        <v>1445</v>
      </c>
      <c r="F7" s="15">
        <v>1416</v>
      </c>
    </row>
    <row r="8" spans="2:16">
      <c r="B8" s="12" t="s">
        <v>309</v>
      </c>
      <c r="C8" s="12" t="s">
        <v>156</v>
      </c>
      <c r="D8" s="16">
        <v>889</v>
      </c>
      <c r="E8" s="14">
        <v>1293</v>
      </c>
      <c r="F8" s="15">
        <v>1526</v>
      </c>
    </row>
    <row r="9" spans="2:16">
      <c r="B9" s="12" t="s">
        <v>309</v>
      </c>
      <c r="C9" s="12" t="s">
        <v>157</v>
      </c>
      <c r="D9" s="14">
        <v>1254</v>
      </c>
      <c r="E9" s="14">
        <v>1989</v>
      </c>
      <c r="F9" s="15">
        <v>1685</v>
      </c>
    </row>
    <row r="10" spans="2:16">
      <c r="B10" s="12" t="s">
        <v>309</v>
      </c>
      <c r="C10" s="12" t="s">
        <v>158</v>
      </c>
      <c r="D10" s="14">
        <v>1025</v>
      </c>
      <c r="E10" s="14">
        <v>1362</v>
      </c>
      <c r="F10" s="15">
        <v>2077</v>
      </c>
    </row>
    <row r="11" spans="2:16">
      <c r="B11" s="12" t="s">
        <v>309</v>
      </c>
      <c r="C11" s="12" t="s">
        <v>159</v>
      </c>
      <c r="D11" s="14">
        <v>1194</v>
      </c>
      <c r="E11" s="14">
        <v>2016</v>
      </c>
      <c r="F11" s="15">
        <v>1452</v>
      </c>
    </row>
    <row r="12" spans="2:16">
      <c r="B12" s="12" t="s">
        <v>309</v>
      </c>
      <c r="C12" s="12" t="s">
        <v>160</v>
      </c>
      <c r="D12" s="16">
        <v>607</v>
      </c>
      <c r="E12" s="16">
        <v>853</v>
      </c>
      <c r="F12" s="15">
        <v>1022</v>
      </c>
    </row>
    <row r="13" spans="2:16">
      <c r="B13" s="12" t="s">
        <v>309</v>
      </c>
      <c r="C13" s="12" t="s">
        <v>161</v>
      </c>
      <c r="D13" s="16">
        <v>626</v>
      </c>
      <c r="E13" s="14">
        <v>1569</v>
      </c>
      <c r="F13" s="15">
        <v>1033</v>
      </c>
    </row>
    <row r="14" spans="2:16">
      <c r="B14" s="12" t="s">
        <v>309</v>
      </c>
      <c r="C14" s="12" t="s">
        <v>162</v>
      </c>
      <c r="D14" s="14">
        <v>1037</v>
      </c>
      <c r="E14" s="14">
        <v>2300</v>
      </c>
      <c r="F14" s="15">
        <v>1598</v>
      </c>
    </row>
    <row r="15" spans="2:16">
      <c r="B15" s="12" t="s">
        <v>309</v>
      </c>
      <c r="C15" s="12" t="s">
        <v>163</v>
      </c>
      <c r="D15" s="16">
        <v>972</v>
      </c>
      <c r="E15" s="14">
        <v>2128</v>
      </c>
      <c r="F15" s="17">
        <v>912</v>
      </c>
    </row>
    <row r="16" spans="2:16">
      <c r="B16" s="12" t="s">
        <v>309</v>
      </c>
      <c r="C16" s="12" t="s">
        <v>164</v>
      </c>
      <c r="D16" s="16">
        <v>88</v>
      </c>
      <c r="E16" s="14">
        <v>1159</v>
      </c>
      <c r="F16" s="17">
        <v>0</v>
      </c>
    </row>
    <row r="17" spans="1:6">
      <c r="B17" s="12" t="s">
        <v>309</v>
      </c>
      <c r="C17" s="12" t="s">
        <v>165</v>
      </c>
      <c r="D17" s="14">
        <v>2052</v>
      </c>
      <c r="E17" s="14">
        <v>2159</v>
      </c>
      <c r="F17" s="15">
        <v>1582</v>
      </c>
    </row>
    <row r="18" spans="1:6">
      <c r="B18" s="12" t="s">
        <v>309</v>
      </c>
      <c r="C18" s="12" t="s">
        <v>166</v>
      </c>
      <c r="D18" s="14">
        <v>1582</v>
      </c>
      <c r="E18" s="14">
        <v>2308</v>
      </c>
      <c r="F18" s="15">
        <v>1699</v>
      </c>
    </row>
    <row r="19" spans="1:6">
      <c r="A19" s="9"/>
      <c r="B19" s="12" t="s">
        <v>309</v>
      </c>
      <c r="C19" s="12" t="s">
        <v>167</v>
      </c>
      <c r="D19" s="14">
        <v>1088</v>
      </c>
      <c r="E19" s="14">
        <v>1218</v>
      </c>
      <c r="F19" s="17">
        <v>981</v>
      </c>
    </row>
    <row r="20" spans="1:6">
      <c r="A20" s="9"/>
      <c r="B20" s="12" t="s">
        <v>309</v>
      </c>
      <c r="C20" s="12" t="s">
        <v>168</v>
      </c>
      <c r="D20" s="16">
        <v>706</v>
      </c>
      <c r="E20" s="14">
        <v>1151</v>
      </c>
      <c r="F20" s="15">
        <v>1145</v>
      </c>
    </row>
    <row r="21" spans="1:6">
      <c r="A21" s="19"/>
      <c r="B21" s="12" t="s">
        <v>309</v>
      </c>
      <c r="C21" s="12" t="s">
        <v>169</v>
      </c>
      <c r="D21" s="14">
        <v>1335</v>
      </c>
      <c r="E21" s="14">
        <v>2098</v>
      </c>
      <c r="F21" s="15">
        <v>1322</v>
      </c>
    </row>
    <row r="22" spans="1:6">
      <c r="A22" s="9"/>
      <c r="B22" s="12" t="s">
        <v>309</v>
      </c>
      <c r="C22" s="12" t="s">
        <v>170</v>
      </c>
      <c r="D22" s="16">
        <v>702</v>
      </c>
      <c r="E22" s="14">
        <v>1162</v>
      </c>
      <c r="F22" s="17">
        <v>877</v>
      </c>
    </row>
    <row r="23" spans="1:6">
      <c r="A23" s="9"/>
      <c r="B23" s="12" t="s">
        <v>309</v>
      </c>
      <c r="C23" s="12" t="s">
        <v>171</v>
      </c>
      <c r="D23" s="16">
        <v>968</v>
      </c>
      <c r="E23" s="14">
        <v>1101</v>
      </c>
      <c r="F23" s="17">
        <v>797</v>
      </c>
    </row>
    <row r="24" spans="1:6">
      <c r="A24" s="9"/>
      <c r="B24" s="12" t="s">
        <v>309</v>
      </c>
      <c r="C24" s="12" t="s">
        <v>172</v>
      </c>
      <c r="D24" s="14">
        <v>1664</v>
      </c>
      <c r="E24" s="14">
        <v>2069</v>
      </c>
      <c r="F24" s="15">
        <v>1710</v>
      </c>
    </row>
    <row r="25" spans="1:6">
      <c r="A25" s="9"/>
      <c r="B25" s="12" t="s">
        <v>309</v>
      </c>
      <c r="C25" s="12" t="s">
        <v>173</v>
      </c>
      <c r="D25" s="16">
        <v>624</v>
      </c>
      <c r="E25" s="16">
        <v>770</v>
      </c>
      <c r="F25" s="17">
        <v>746</v>
      </c>
    </row>
    <row r="26" spans="1:6">
      <c r="A26" s="9"/>
      <c r="B26" s="12" t="s">
        <v>309</v>
      </c>
      <c r="C26" s="12" t="s">
        <v>174</v>
      </c>
      <c r="D26" s="16">
        <v>685</v>
      </c>
      <c r="E26" s="14">
        <v>1501</v>
      </c>
      <c r="F26" s="15">
        <v>1126</v>
      </c>
    </row>
    <row r="27" spans="1:6">
      <c r="A27" s="9"/>
      <c r="B27" s="12" t="s">
        <v>309</v>
      </c>
      <c r="C27" s="12" t="s">
        <v>175</v>
      </c>
      <c r="D27" s="14">
        <v>1248</v>
      </c>
      <c r="E27" s="14">
        <v>1763</v>
      </c>
      <c r="F27" s="15">
        <v>1146</v>
      </c>
    </row>
    <row r="28" spans="1:6">
      <c r="A28" s="9"/>
      <c r="B28" s="12" t="s">
        <v>309</v>
      </c>
      <c r="C28" s="12" t="s">
        <v>176</v>
      </c>
      <c r="D28" s="14">
        <v>1342</v>
      </c>
      <c r="E28" s="14">
        <v>1559</v>
      </c>
      <c r="F28" s="15">
        <v>1307</v>
      </c>
    </row>
    <row r="29" spans="1:6">
      <c r="A29" s="9"/>
      <c r="B29" s="12" t="s">
        <v>309</v>
      </c>
      <c r="C29" s="12" t="s">
        <v>177</v>
      </c>
      <c r="D29" s="16">
        <v>760</v>
      </c>
      <c r="E29" s="16">
        <v>965</v>
      </c>
      <c r="F29" s="17">
        <v>921</v>
      </c>
    </row>
    <row r="30" spans="1:6">
      <c r="A30" s="9"/>
      <c r="B30" s="12" t="s">
        <v>309</v>
      </c>
      <c r="C30" s="12" t="s">
        <v>178</v>
      </c>
      <c r="D30" s="14">
        <v>1187</v>
      </c>
      <c r="E30" s="14">
        <v>1568</v>
      </c>
      <c r="F30" s="15">
        <v>1190</v>
      </c>
    </row>
    <row r="31" spans="1:6">
      <c r="A31" s="9"/>
      <c r="B31" s="12" t="s">
        <v>309</v>
      </c>
      <c r="C31" s="12" t="s">
        <v>179</v>
      </c>
      <c r="D31" s="16">
        <v>0</v>
      </c>
      <c r="E31" s="16">
        <v>0</v>
      </c>
      <c r="F31" s="17">
        <v>277</v>
      </c>
    </row>
    <row r="32" spans="1:6">
      <c r="A32" s="9"/>
      <c r="B32" s="12" t="s">
        <v>309</v>
      </c>
      <c r="C32" s="12" t="s">
        <v>180</v>
      </c>
      <c r="D32" s="16">
        <v>368</v>
      </c>
      <c r="E32" s="14">
        <v>1386</v>
      </c>
      <c r="F32" s="17">
        <v>637</v>
      </c>
    </row>
    <row r="33" spans="1:6">
      <c r="A33" s="9"/>
      <c r="B33" s="12" t="s">
        <v>309</v>
      </c>
      <c r="C33" s="12" t="s">
        <v>181</v>
      </c>
      <c r="D33" s="16">
        <v>317</v>
      </c>
      <c r="E33" s="14">
        <v>1215</v>
      </c>
      <c r="F33" s="17">
        <v>478</v>
      </c>
    </row>
    <row r="34" spans="1:6">
      <c r="A34" s="9"/>
      <c r="B34" s="12" t="s">
        <v>309</v>
      </c>
      <c r="C34" s="12" t="s">
        <v>182</v>
      </c>
      <c r="D34" s="16">
        <v>689</v>
      </c>
      <c r="E34" s="14">
        <v>2544</v>
      </c>
      <c r="F34" s="15">
        <v>1009</v>
      </c>
    </row>
    <row r="35" spans="1:6">
      <c r="A35" s="9"/>
      <c r="B35" s="12" t="s">
        <v>309</v>
      </c>
      <c r="C35" s="12" t="s">
        <v>183</v>
      </c>
      <c r="D35" s="16">
        <v>510</v>
      </c>
      <c r="E35" s="14">
        <v>2583</v>
      </c>
      <c r="F35" s="17">
        <v>861</v>
      </c>
    </row>
    <row r="36" spans="1:6">
      <c r="A36" s="9"/>
      <c r="B36" s="12" t="s">
        <v>309</v>
      </c>
      <c r="C36" s="12" t="s">
        <v>184</v>
      </c>
      <c r="D36" s="16">
        <v>257</v>
      </c>
      <c r="E36" s="14">
        <v>1023</v>
      </c>
      <c r="F36" s="17">
        <v>446</v>
      </c>
    </row>
    <row r="37" spans="1:6">
      <c r="A37" s="9"/>
      <c r="B37" s="12" t="s">
        <v>309</v>
      </c>
      <c r="C37" s="12" t="s">
        <v>185</v>
      </c>
      <c r="D37" s="16">
        <v>335</v>
      </c>
      <c r="E37" s="14">
        <v>1225</v>
      </c>
      <c r="F37" s="17">
        <v>520</v>
      </c>
    </row>
    <row r="38" spans="1:6">
      <c r="A38" s="9"/>
      <c r="B38" s="12" t="s">
        <v>309</v>
      </c>
      <c r="C38" s="12" t="s">
        <v>186</v>
      </c>
      <c r="D38" s="16">
        <v>264</v>
      </c>
      <c r="E38" s="16">
        <v>957</v>
      </c>
      <c r="F38" s="17">
        <v>405</v>
      </c>
    </row>
    <row r="39" spans="1:6">
      <c r="A39" s="9"/>
      <c r="B39" s="12" t="s">
        <v>309</v>
      </c>
      <c r="C39" s="12" t="s">
        <v>187</v>
      </c>
      <c r="D39" s="16">
        <v>285</v>
      </c>
      <c r="E39" s="16">
        <v>869</v>
      </c>
      <c r="F39" s="17">
        <v>434</v>
      </c>
    </row>
    <row r="40" spans="1:6">
      <c r="A40" s="9"/>
      <c r="B40" s="12" t="s">
        <v>309</v>
      </c>
      <c r="C40" s="12" t="s">
        <v>188</v>
      </c>
      <c r="D40" s="16">
        <v>550</v>
      </c>
      <c r="E40" s="14">
        <v>2502</v>
      </c>
      <c r="F40" s="17">
        <v>822</v>
      </c>
    </row>
    <row r="41" spans="1:6">
      <c r="A41" s="9"/>
      <c r="B41" s="12" t="s">
        <v>309</v>
      </c>
      <c r="C41" s="12" t="s">
        <v>189</v>
      </c>
      <c r="D41" s="16">
        <v>266</v>
      </c>
      <c r="E41" s="14">
        <v>1382</v>
      </c>
      <c r="F41" s="17">
        <v>501</v>
      </c>
    </row>
    <row r="42" spans="1:6">
      <c r="A42" s="9"/>
      <c r="B42" s="12" t="s">
        <v>309</v>
      </c>
      <c r="C42" s="12" t="s">
        <v>190</v>
      </c>
      <c r="D42" s="16">
        <v>598</v>
      </c>
      <c r="E42" s="14">
        <v>2107</v>
      </c>
      <c r="F42" s="15">
        <v>1002</v>
      </c>
    </row>
    <row r="43" spans="1:6">
      <c r="A43" s="9"/>
      <c r="B43" s="12" t="s">
        <v>309</v>
      </c>
      <c r="C43" s="12" t="s">
        <v>191</v>
      </c>
      <c r="D43" s="16">
        <v>344</v>
      </c>
      <c r="E43" s="14">
        <v>1641</v>
      </c>
      <c r="F43" s="17">
        <v>765</v>
      </c>
    </row>
    <row r="44" spans="1:6">
      <c r="A44" s="9"/>
      <c r="B44" s="12" t="s">
        <v>309</v>
      </c>
      <c r="C44" s="12" t="s">
        <v>192</v>
      </c>
      <c r="D44" s="16">
        <v>183</v>
      </c>
      <c r="E44" s="16">
        <v>867</v>
      </c>
      <c r="F44" s="17">
        <v>384</v>
      </c>
    </row>
    <row r="45" spans="1:6">
      <c r="A45" s="9"/>
      <c r="B45" s="12" t="s">
        <v>309</v>
      </c>
      <c r="C45" s="12" t="s">
        <v>193</v>
      </c>
      <c r="D45" s="16">
        <v>302</v>
      </c>
      <c r="E45" s="14">
        <v>1326</v>
      </c>
      <c r="F45" s="17">
        <v>586</v>
      </c>
    </row>
    <row r="46" spans="1:6">
      <c r="A46" s="9"/>
      <c r="B46" s="12" t="s">
        <v>309</v>
      </c>
      <c r="C46" s="12" t="s">
        <v>194</v>
      </c>
      <c r="D46" s="16">
        <v>177</v>
      </c>
      <c r="E46" s="16">
        <v>823</v>
      </c>
      <c r="F46" s="17">
        <v>548</v>
      </c>
    </row>
    <row r="47" spans="1:6">
      <c r="A47" s="9"/>
      <c r="B47" s="12" t="s">
        <v>309</v>
      </c>
      <c r="C47" s="12" t="s">
        <v>195</v>
      </c>
      <c r="D47" s="16">
        <v>285</v>
      </c>
      <c r="E47" s="14">
        <v>1249</v>
      </c>
      <c r="F47" s="17">
        <v>533</v>
      </c>
    </row>
    <row r="48" spans="1:6">
      <c r="A48" s="9"/>
      <c r="B48" s="12" t="s">
        <v>309</v>
      </c>
      <c r="C48" s="12" t="s">
        <v>196</v>
      </c>
      <c r="D48" s="16">
        <v>236</v>
      </c>
      <c r="E48" s="14">
        <v>1162</v>
      </c>
      <c r="F48" s="17">
        <v>402</v>
      </c>
    </row>
    <row r="49" spans="1:6">
      <c r="A49" s="9"/>
      <c r="B49" s="12" t="s">
        <v>309</v>
      </c>
      <c r="C49" s="12" t="s">
        <v>197</v>
      </c>
      <c r="D49" s="16">
        <v>293</v>
      </c>
      <c r="E49" s="14">
        <v>1016</v>
      </c>
      <c r="F49" s="17">
        <v>585</v>
      </c>
    </row>
    <row r="50" spans="1:6">
      <c r="A50" s="9"/>
      <c r="B50" s="12" t="s">
        <v>309</v>
      </c>
      <c r="C50" s="12" t="s">
        <v>198</v>
      </c>
      <c r="D50" s="16">
        <v>242</v>
      </c>
      <c r="E50" s="14">
        <v>1363</v>
      </c>
      <c r="F50" s="17">
        <v>428</v>
      </c>
    </row>
    <row r="51" spans="1:6">
      <c r="A51" s="9"/>
      <c r="B51" s="12" t="s">
        <v>309</v>
      </c>
      <c r="C51" s="12" t="s">
        <v>199</v>
      </c>
      <c r="D51" s="16">
        <v>248</v>
      </c>
      <c r="E51" s="14">
        <v>1398</v>
      </c>
      <c r="F51" s="17">
        <v>476</v>
      </c>
    </row>
    <row r="52" spans="1:6">
      <c r="A52" s="9"/>
      <c r="B52" s="12" t="s">
        <v>309</v>
      </c>
      <c r="C52" s="12" t="s">
        <v>200</v>
      </c>
      <c r="D52" s="16">
        <v>292</v>
      </c>
      <c r="E52" s="14">
        <v>1380</v>
      </c>
      <c r="F52" s="17">
        <v>456</v>
      </c>
    </row>
    <row r="53" spans="1:6">
      <c r="A53" s="9"/>
      <c r="B53" s="12" t="s">
        <v>309</v>
      </c>
      <c r="C53" s="12" t="s">
        <v>201</v>
      </c>
      <c r="D53" s="16">
        <v>196</v>
      </c>
      <c r="E53" s="14">
        <v>1238</v>
      </c>
      <c r="F53" s="17">
        <v>493</v>
      </c>
    </row>
    <row r="54" spans="1:6">
      <c r="A54" s="9"/>
      <c r="B54" s="12" t="s">
        <v>309</v>
      </c>
      <c r="C54" s="12" t="s">
        <v>202</v>
      </c>
      <c r="D54" s="16">
        <v>432</v>
      </c>
      <c r="E54" s="14">
        <v>1216</v>
      </c>
      <c r="F54" s="17">
        <v>552</v>
      </c>
    </row>
    <row r="55" spans="1:6">
      <c r="A55" s="9"/>
      <c r="B55" s="12" t="s">
        <v>309</v>
      </c>
      <c r="C55" s="12" t="s">
        <v>203</v>
      </c>
      <c r="D55" s="16">
        <v>420</v>
      </c>
      <c r="E55" s="14">
        <v>1581</v>
      </c>
      <c r="F55" s="17">
        <v>525</v>
      </c>
    </row>
    <row r="56" spans="1:6">
      <c r="A56" s="9"/>
      <c r="B56" s="12" t="s">
        <v>309</v>
      </c>
      <c r="C56" s="12" t="s">
        <v>204</v>
      </c>
      <c r="D56" s="16">
        <v>398</v>
      </c>
      <c r="E56" s="14">
        <v>1759</v>
      </c>
      <c r="F56" s="17">
        <v>682</v>
      </c>
    </row>
    <row r="57" spans="1:6">
      <c r="A57" s="9"/>
      <c r="B57" s="12" t="s">
        <v>309</v>
      </c>
      <c r="C57" s="12" t="s">
        <v>205</v>
      </c>
      <c r="D57" s="16">
        <v>128</v>
      </c>
      <c r="E57" s="16">
        <v>791</v>
      </c>
      <c r="F57" s="17">
        <v>242</v>
      </c>
    </row>
    <row r="58" spans="1:6">
      <c r="A58" s="9"/>
      <c r="B58" s="12" t="s">
        <v>309</v>
      </c>
      <c r="C58" s="12" t="s">
        <v>206</v>
      </c>
      <c r="D58" s="16">
        <v>225</v>
      </c>
      <c r="E58" s="16">
        <v>935</v>
      </c>
      <c r="F58" s="17">
        <v>432</v>
      </c>
    </row>
    <row r="59" spans="1:6">
      <c r="A59" s="9"/>
      <c r="B59" s="12" t="s">
        <v>309</v>
      </c>
      <c r="C59" s="12" t="s">
        <v>207</v>
      </c>
      <c r="D59" s="14">
        <v>1358</v>
      </c>
      <c r="E59" s="14">
        <v>2231</v>
      </c>
      <c r="F59" s="15">
        <v>1391</v>
      </c>
    </row>
    <row r="60" spans="1:6">
      <c r="A60" s="9"/>
      <c r="B60" s="12" t="s">
        <v>309</v>
      </c>
      <c r="C60" s="12" t="s">
        <v>208</v>
      </c>
      <c r="D60" s="14">
        <v>1345</v>
      </c>
      <c r="E60" s="14">
        <v>1791</v>
      </c>
      <c r="F60" s="15">
        <v>1460</v>
      </c>
    </row>
    <row r="61" spans="1:6">
      <c r="A61" s="9"/>
      <c r="B61" s="12" t="s">
        <v>309</v>
      </c>
      <c r="C61" s="12" t="s">
        <v>209</v>
      </c>
      <c r="D61" s="16">
        <v>769</v>
      </c>
      <c r="E61" s="14">
        <v>1948</v>
      </c>
      <c r="F61" s="15">
        <v>1011</v>
      </c>
    </row>
    <row r="62" spans="1:6">
      <c r="A62" s="9"/>
      <c r="B62" s="12" t="s">
        <v>309</v>
      </c>
      <c r="C62" s="12" t="s">
        <v>210</v>
      </c>
      <c r="D62" s="16">
        <v>560</v>
      </c>
      <c r="E62" s="14">
        <v>1835</v>
      </c>
      <c r="F62" s="17">
        <v>642</v>
      </c>
    </row>
    <row r="63" spans="1:6">
      <c r="A63" s="9"/>
      <c r="B63" s="12" t="s">
        <v>309</v>
      </c>
      <c r="C63" s="12" t="s">
        <v>211</v>
      </c>
      <c r="D63" s="16">
        <v>836</v>
      </c>
      <c r="E63" s="14">
        <v>2245</v>
      </c>
      <c r="F63" s="17">
        <v>861</v>
      </c>
    </row>
    <row r="64" spans="1:6">
      <c r="A64" s="9"/>
      <c r="B64" s="12" t="s">
        <v>309</v>
      </c>
      <c r="C64" s="12" t="s">
        <v>212</v>
      </c>
      <c r="D64" s="16">
        <v>587</v>
      </c>
      <c r="E64" s="14">
        <v>1471</v>
      </c>
      <c r="F64" s="17">
        <v>623</v>
      </c>
    </row>
    <row r="65" spans="1:6">
      <c r="A65" s="9"/>
      <c r="B65" s="12" t="s">
        <v>309</v>
      </c>
      <c r="C65" s="12" t="s">
        <v>213</v>
      </c>
      <c r="D65" s="16">
        <v>774</v>
      </c>
      <c r="E65" s="14">
        <v>1403</v>
      </c>
      <c r="F65" s="15">
        <v>1085</v>
      </c>
    </row>
    <row r="66" spans="1:6">
      <c r="A66" s="9"/>
      <c r="B66" s="12" t="s">
        <v>309</v>
      </c>
      <c r="C66" s="12" t="s">
        <v>214</v>
      </c>
      <c r="D66" s="16">
        <v>757</v>
      </c>
      <c r="E66" s="14">
        <v>1203</v>
      </c>
      <c r="F66" s="15">
        <v>1175</v>
      </c>
    </row>
    <row r="67" spans="1:6">
      <c r="A67" s="9"/>
      <c r="B67" s="12" t="s">
        <v>309</v>
      </c>
      <c r="C67" s="12" t="s">
        <v>215</v>
      </c>
      <c r="D67" s="16">
        <v>591</v>
      </c>
      <c r="E67" s="14">
        <v>1439</v>
      </c>
      <c r="F67" s="17">
        <v>858</v>
      </c>
    </row>
    <row r="68" spans="1:6">
      <c r="A68" s="9"/>
      <c r="B68" s="12" t="s">
        <v>309</v>
      </c>
      <c r="C68" s="12" t="s">
        <v>216</v>
      </c>
      <c r="D68" s="16">
        <v>457</v>
      </c>
      <c r="E68" s="14">
        <v>1161</v>
      </c>
      <c r="F68" s="17">
        <v>594</v>
      </c>
    </row>
    <row r="69" spans="1:6">
      <c r="A69" s="9"/>
      <c r="B69" s="12" t="s">
        <v>309</v>
      </c>
      <c r="C69" s="12" t="s">
        <v>217</v>
      </c>
      <c r="D69" s="16">
        <v>494</v>
      </c>
      <c r="E69" s="14">
        <v>1585</v>
      </c>
      <c r="F69" s="17">
        <v>705</v>
      </c>
    </row>
    <row r="70" spans="1:6">
      <c r="A70" s="9"/>
      <c r="B70" s="12" t="s">
        <v>309</v>
      </c>
      <c r="C70" s="12" t="s">
        <v>218</v>
      </c>
      <c r="D70" s="16">
        <v>914</v>
      </c>
      <c r="E70" s="14">
        <v>1727</v>
      </c>
      <c r="F70" s="15">
        <v>1308</v>
      </c>
    </row>
    <row r="71" spans="1:6">
      <c r="A71" s="9"/>
      <c r="B71" s="12" t="s">
        <v>309</v>
      </c>
      <c r="C71" s="12" t="s">
        <v>219</v>
      </c>
      <c r="D71" s="16">
        <v>581</v>
      </c>
      <c r="E71" s="14">
        <v>1448</v>
      </c>
      <c r="F71" s="17">
        <v>885</v>
      </c>
    </row>
    <row r="72" spans="1:6">
      <c r="A72" s="9"/>
      <c r="B72" s="12" t="s">
        <v>309</v>
      </c>
      <c r="C72" s="12" t="s">
        <v>220</v>
      </c>
      <c r="D72" s="16">
        <v>31</v>
      </c>
      <c r="E72" s="16">
        <v>0</v>
      </c>
      <c r="F72" s="17">
        <v>78</v>
      </c>
    </row>
    <row r="73" spans="1:6">
      <c r="A73" s="9"/>
      <c r="B73" s="12" t="s">
        <v>309</v>
      </c>
      <c r="C73" s="12" t="s">
        <v>221</v>
      </c>
      <c r="D73" s="16">
        <v>92</v>
      </c>
      <c r="E73" s="16">
        <v>233</v>
      </c>
      <c r="F73" s="17">
        <v>494</v>
      </c>
    </row>
    <row r="74" spans="1:6">
      <c r="A74" s="9"/>
      <c r="B74" s="12" t="s">
        <v>309</v>
      </c>
      <c r="C74" s="12" t="s">
        <v>222</v>
      </c>
      <c r="D74" s="16">
        <v>486</v>
      </c>
      <c r="E74" s="14">
        <v>1176</v>
      </c>
      <c r="F74" s="17">
        <v>400</v>
      </c>
    </row>
    <row r="75" spans="1:6">
      <c r="A75" s="9"/>
      <c r="B75" s="12" t="s">
        <v>309</v>
      </c>
      <c r="C75" s="12" t="s">
        <v>223</v>
      </c>
      <c r="D75" s="16">
        <v>440</v>
      </c>
      <c r="E75" s="16">
        <v>874</v>
      </c>
      <c r="F75" s="17">
        <v>803</v>
      </c>
    </row>
    <row r="76" spans="1:6">
      <c r="A76" s="9"/>
      <c r="B76" s="12" t="s">
        <v>309</v>
      </c>
      <c r="C76" s="12" t="s">
        <v>224</v>
      </c>
      <c r="D76" s="16">
        <v>127</v>
      </c>
      <c r="E76" s="16">
        <v>695</v>
      </c>
      <c r="F76" s="17">
        <v>440</v>
      </c>
    </row>
    <row r="77" spans="1:6">
      <c r="A77" s="9"/>
      <c r="B77" s="12" t="s">
        <v>309</v>
      </c>
      <c r="C77" s="12" t="s">
        <v>225</v>
      </c>
      <c r="D77" s="16">
        <v>257</v>
      </c>
      <c r="E77" s="14">
        <v>1367</v>
      </c>
      <c r="F77" s="17">
        <v>544</v>
      </c>
    </row>
    <row r="78" spans="1:6">
      <c r="A78" s="9"/>
      <c r="B78" s="12" t="s">
        <v>309</v>
      </c>
      <c r="C78" s="12" t="s">
        <v>226</v>
      </c>
      <c r="D78" s="16">
        <v>399</v>
      </c>
      <c r="E78" s="14">
        <v>1238</v>
      </c>
      <c r="F78" s="17">
        <v>622</v>
      </c>
    </row>
    <row r="79" spans="1:6">
      <c r="A79" s="9"/>
      <c r="B79" s="12" t="s">
        <v>309</v>
      </c>
      <c r="C79" s="12" t="s">
        <v>227</v>
      </c>
      <c r="D79" s="16">
        <v>470</v>
      </c>
      <c r="E79" s="14">
        <v>1609</v>
      </c>
      <c r="F79" s="17">
        <v>662</v>
      </c>
    </row>
    <row r="80" spans="1:6">
      <c r="A80" s="9"/>
      <c r="B80" s="12" t="s">
        <v>309</v>
      </c>
      <c r="C80" s="12" t="s">
        <v>228</v>
      </c>
      <c r="D80" s="16">
        <v>651</v>
      </c>
      <c r="E80" s="14">
        <v>2120</v>
      </c>
      <c r="F80" s="17">
        <v>824</v>
      </c>
    </row>
    <row r="81" spans="1:6">
      <c r="A81" s="9"/>
      <c r="B81" s="12" t="s">
        <v>309</v>
      </c>
      <c r="C81" s="12" t="s">
        <v>229</v>
      </c>
      <c r="D81" s="16">
        <v>757</v>
      </c>
      <c r="E81" s="14">
        <v>2498</v>
      </c>
      <c r="F81" s="17">
        <v>846</v>
      </c>
    </row>
    <row r="82" spans="1:6">
      <c r="A82" s="9"/>
      <c r="B82" s="12" t="s">
        <v>309</v>
      </c>
      <c r="C82" s="12" t="s">
        <v>230</v>
      </c>
      <c r="D82" s="16">
        <v>526</v>
      </c>
      <c r="E82" s="14">
        <v>1902</v>
      </c>
      <c r="F82" s="17">
        <v>743</v>
      </c>
    </row>
    <row r="83" spans="1:6">
      <c r="A83" s="9"/>
      <c r="B83" s="12" t="s">
        <v>309</v>
      </c>
      <c r="C83" s="12" t="s">
        <v>231</v>
      </c>
      <c r="D83" s="16">
        <v>196</v>
      </c>
      <c r="E83" s="16">
        <v>994</v>
      </c>
      <c r="F83" s="17">
        <v>477</v>
      </c>
    </row>
    <row r="84" spans="1:6">
      <c r="A84" s="9"/>
      <c r="B84" s="12" t="s">
        <v>309</v>
      </c>
      <c r="C84" s="12" t="s">
        <v>232</v>
      </c>
      <c r="D84" s="16">
        <v>260</v>
      </c>
      <c r="E84" s="14">
        <v>1010</v>
      </c>
      <c r="F84" s="17">
        <v>575</v>
      </c>
    </row>
    <row r="85" spans="1:6">
      <c r="A85" s="9"/>
      <c r="B85" s="12" t="s">
        <v>309</v>
      </c>
      <c r="C85" s="12" t="s">
        <v>233</v>
      </c>
      <c r="D85" s="16">
        <v>192</v>
      </c>
      <c r="E85" s="16">
        <v>899</v>
      </c>
      <c r="F85" s="17">
        <v>369</v>
      </c>
    </row>
    <row r="86" spans="1:6">
      <c r="A86" s="9"/>
      <c r="B86" s="12" t="s">
        <v>309</v>
      </c>
      <c r="C86" s="12" t="s">
        <v>234</v>
      </c>
      <c r="D86" s="16">
        <v>177</v>
      </c>
      <c r="E86" s="16">
        <v>284</v>
      </c>
      <c r="F86" s="17">
        <v>174</v>
      </c>
    </row>
    <row r="87" spans="1:6">
      <c r="A87" s="9"/>
      <c r="B87" s="12" t="s">
        <v>309</v>
      </c>
      <c r="C87" s="12" t="s">
        <v>235</v>
      </c>
      <c r="D87" s="16">
        <v>741</v>
      </c>
      <c r="E87" s="14">
        <v>1781</v>
      </c>
      <c r="F87" s="15">
        <v>1028</v>
      </c>
    </row>
    <row r="88" spans="1:6">
      <c r="A88" s="9"/>
      <c r="B88" s="12" t="s">
        <v>309</v>
      </c>
      <c r="C88" s="12" t="s">
        <v>236</v>
      </c>
      <c r="D88" s="16">
        <v>174</v>
      </c>
      <c r="E88" s="16">
        <v>773</v>
      </c>
      <c r="F88" s="17">
        <v>237</v>
      </c>
    </row>
    <row r="89" spans="1:6">
      <c r="A89" s="9"/>
      <c r="B89" s="12" t="s">
        <v>309</v>
      </c>
      <c r="C89" s="12" t="s">
        <v>237</v>
      </c>
      <c r="D89" s="16">
        <v>94</v>
      </c>
      <c r="E89" s="16">
        <v>769</v>
      </c>
      <c r="F89" s="17">
        <v>228</v>
      </c>
    </row>
    <row r="90" spans="1:6">
      <c r="A90" s="9"/>
      <c r="B90" s="12" t="s">
        <v>309</v>
      </c>
      <c r="C90" s="12" t="s">
        <v>238</v>
      </c>
      <c r="D90" s="16">
        <v>197</v>
      </c>
      <c r="E90" s="16">
        <v>837</v>
      </c>
      <c r="F90" s="17">
        <v>434</v>
      </c>
    </row>
    <row r="91" spans="1:6">
      <c r="A91" s="9"/>
      <c r="B91" s="12" t="s">
        <v>309</v>
      </c>
      <c r="C91" s="12" t="s">
        <v>239</v>
      </c>
      <c r="D91" s="16">
        <v>318</v>
      </c>
      <c r="E91" s="14">
        <v>1120</v>
      </c>
      <c r="F91" s="17">
        <v>444</v>
      </c>
    </row>
    <row r="92" spans="1:6">
      <c r="A92" s="9"/>
      <c r="B92" s="12" t="s">
        <v>309</v>
      </c>
      <c r="C92" s="12" t="s">
        <v>240</v>
      </c>
      <c r="D92" s="16">
        <v>82</v>
      </c>
      <c r="E92" s="16">
        <v>723</v>
      </c>
      <c r="F92" s="17">
        <v>204</v>
      </c>
    </row>
    <row r="93" spans="1:6">
      <c r="A93" s="9"/>
      <c r="B93" s="12" t="s">
        <v>309</v>
      </c>
      <c r="C93" s="12" t="s">
        <v>241</v>
      </c>
      <c r="D93" s="16">
        <v>206</v>
      </c>
      <c r="E93" s="16">
        <v>550</v>
      </c>
      <c r="F93" s="17">
        <v>229</v>
      </c>
    </row>
    <row r="94" spans="1:6">
      <c r="A94" s="9"/>
      <c r="B94" s="12" t="s">
        <v>309</v>
      </c>
      <c r="C94" s="12" t="s">
        <v>242</v>
      </c>
      <c r="D94" s="16">
        <v>390</v>
      </c>
      <c r="E94" s="14">
        <v>1297</v>
      </c>
      <c r="F94" s="17">
        <v>456</v>
      </c>
    </row>
    <row r="95" spans="1:6">
      <c r="A95" s="9"/>
      <c r="B95" s="12" t="s">
        <v>309</v>
      </c>
      <c r="C95" s="12" t="s">
        <v>243</v>
      </c>
      <c r="D95" s="16">
        <v>111</v>
      </c>
      <c r="E95" s="14">
        <v>1160</v>
      </c>
      <c r="F95" s="17">
        <v>282</v>
      </c>
    </row>
    <row r="96" spans="1:6">
      <c r="A96" s="9"/>
      <c r="B96" s="12" t="s">
        <v>309</v>
      </c>
      <c r="C96" s="12" t="s">
        <v>244</v>
      </c>
      <c r="D96" s="16">
        <v>522</v>
      </c>
      <c r="E96" s="14">
        <v>1667</v>
      </c>
      <c r="F96" s="17">
        <v>556</v>
      </c>
    </row>
    <row r="97" spans="1:6">
      <c r="A97" s="9"/>
      <c r="B97" s="12" t="s">
        <v>309</v>
      </c>
      <c r="C97" s="12" t="s">
        <v>245</v>
      </c>
      <c r="D97" s="16">
        <v>278</v>
      </c>
      <c r="E97" s="14">
        <v>1091</v>
      </c>
      <c r="F97" s="17">
        <v>505</v>
      </c>
    </row>
    <row r="98" spans="1:6">
      <c r="A98" s="9"/>
      <c r="B98" s="12" t="s">
        <v>309</v>
      </c>
      <c r="C98" s="12" t="s">
        <v>246</v>
      </c>
      <c r="D98" s="16">
        <v>0</v>
      </c>
      <c r="E98" s="16">
        <v>0</v>
      </c>
      <c r="F98" s="17">
        <v>0</v>
      </c>
    </row>
    <row r="99" spans="1:6">
      <c r="A99" s="9"/>
      <c r="B99" s="12" t="s">
        <v>309</v>
      </c>
      <c r="C99" s="12" t="s">
        <v>247</v>
      </c>
      <c r="D99" s="16">
        <v>120</v>
      </c>
      <c r="E99" s="14">
        <v>1335</v>
      </c>
      <c r="F99" s="17">
        <v>289</v>
      </c>
    </row>
    <row r="100" spans="1:6">
      <c r="A100" s="9"/>
      <c r="B100" s="12" t="s">
        <v>309</v>
      </c>
      <c r="C100" s="12" t="s">
        <v>248</v>
      </c>
      <c r="D100" s="16">
        <v>316</v>
      </c>
      <c r="E100" s="14">
        <v>1028</v>
      </c>
      <c r="F100" s="17">
        <v>505</v>
      </c>
    </row>
    <row r="101" spans="1:6">
      <c r="A101" s="9"/>
      <c r="B101" s="12" t="s">
        <v>309</v>
      </c>
      <c r="C101" s="12" t="s">
        <v>249</v>
      </c>
      <c r="D101" s="16">
        <v>446</v>
      </c>
      <c r="E101" s="14">
        <v>1763</v>
      </c>
      <c r="F101" s="17">
        <v>527</v>
      </c>
    </row>
    <row r="102" spans="1:6">
      <c r="A102" s="9"/>
      <c r="B102" s="12" t="s">
        <v>309</v>
      </c>
      <c r="C102" s="12" t="s">
        <v>250</v>
      </c>
      <c r="D102" s="16">
        <v>0</v>
      </c>
      <c r="E102" s="16">
        <v>0</v>
      </c>
      <c r="F102" s="17">
        <v>0</v>
      </c>
    </row>
    <row r="103" spans="1:6">
      <c r="A103" s="9"/>
      <c r="B103" s="12" t="s">
        <v>309</v>
      </c>
      <c r="C103" s="12" t="s">
        <v>251</v>
      </c>
      <c r="D103" s="16">
        <v>254</v>
      </c>
      <c r="E103" s="16">
        <v>642</v>
      </c>
      <c r="F103" s="17">
        <v>308</v>
      </c>
    </row>
    <row r="104" spans="1:6">
      <c r="A104" s="9"/>
      <c r="B104" s="12" t="s">
        <v>309</v>
      </c>
      <c r="C104" s="12" t="s">
        <v>252</v>
      </c>
      <c r="D104" s="16">
        <v>157</v>
      </c>
      <c r="E104" s="16">
        <v>440</v>
      </c>
      <c r="F104" s="17">
        <v>436</v>
      </c>
    </row>
    <row r="105" spans="1:6">
      <c r="A105" s="9"/>
      <c r="B105" s="12" t="s">
        <v>309</v>
      </c>
      <c r="C105" s="12" t="s">
        <v>253</v>
      </c>
      <c r="D105" s="16">
        <v>788</v>
      </c>
      <c r="E105" s="16">
        <v>988</v>
      </c>
      <c r="F105" s="17">
        <v>673</v>
      </c>
    </row>
    <row r="106" spans="1:6">
      <c r="A106" s="9"/>
      <c r="B106" s="12" t="s">
        <v>309</v>
      </c>
      <c r="C106" s="12" t="s">
        <v>254</v>
      </c>
      <c r="D106" s="16">
        <v>398</v>
      </c>
      <c r="E106" s="16">
        <v>454</v>
      </c>
      <c r="F106" s="17">
        <v>333</v>
      </c>
    </row>
    <row r="107" spans="1:6">
      <c r="A107" s="9"/>
      <c r="B107" s="12" t="s">
        <v>309</v>
      </c>
      <c r="C107" s="12" t="s">
        <v>255</v>
      </c>
      <c r="D107" s="16">
        <v>796</v>
      </c>
      <c r="E107" s="16">
        <v>912</v>
      </c>
      <c r="F107" s="17">
        <v>687</v>
      </c>
    </row>
    <row r="108" spans="1:6">
      <c r="A108" s="9"/>
      <c r="B108" s="12" t="s">
        <v>309</v>
      </c>
      <c r="C108" s="12" t="s">
        <v>256</v>
      </c>
      <c r="D108" s="16">
        <v>633</v>
      </c>
      <c r="E108" s="14">
        <v>1349</v>
      </c>
      <c r="F108" s="17">
        <v>564</v>
      </c>
    </row>
    <row r="109" spans="1:6">
      <c r="A109" s="9"/>
      <c r="B109" s="12" t="s">
        <v>309</v>
      </c>
      <c r="C109" s="12" t="s">
        <v>257</v>
      </c>
      <c r="D109" s="14">
        <v>1018</v>
      </c>
      <c r="E109" s="14">
        <v>1622</v>
      </c>
      <c r="F109" s="17">
        <v>826</v>
      </c>
    </row>
    <row r="110" spans="1:6">
      <c r="A110" s="9"/>
      <c r="B110" s="12" t="s">
        <v>309</v>
      </c>
      <c r="C110" s="12" t="s">
        <v>258</v>
      </c>
      <c r="D110" s="16">
        <v>356</v>
      </c>
      <c r="E110" s="16">
        <v>429</v>
      </c>
      <c r="F110" s="17">
        <v>621</v>
      </c>
    </row>
    <row r="111" spans="1:6">
      <c r="A111" s="9"/>
      <c r="B111" s="12" t="s">
        <v>309</v>
      </c>
      <c r="C111" s="12" t="s">
        <v>259</v>
      </c>
      <c r="D111" s="14">
        <v>1173</v>
      </c>
      <c r="E111" s="14">
        <v>1342</v>
      </c>
      <c r="F111" s="17">
        <v>605</v>
      </c>
    </row>
    <row r="112" spans="1:6">
      <c r="A112" s="9"/>
      <c r="B112" s="12" t="s">
        <v>309</v>
      </c>
      <c r="C112" s="12" t="s">
        <v>260</v>
      </c>
      <c r="D112" s="16">
        <v>729</v>
      </c>
      <c r="E112" s="14">
        <v>1085</v>
      </c>
      <c r="F112" s="17">
        <v>838</v>
      </c>
    </row>
    <row r="113" spans="1:6">
      <c r="A113" s="9"/>
      <c r="B113" s="12" t="s">
        <v>309</v>
      </c>
      <c r="C113" s="12" t="s">
        <v>261</v>
      </c>
      <c r="D113" s="16">
        <v>935</v>
      </c>
      <c r="E113" s="14">
        <v>1436</v>
      </c>
      <c r="F113" s="15">
        <v>1237</v>
      </c>
    </row>
    <row r="114" spans="1:6">
      <c r="A114" s="9"/>
      <c r="B114" s="12" t="s">
        <v>309</v>
      </c>
      <c r="C114" s="12" t="s">
        <v>262</v>
      </c>
      <c r="D114" s="16">
        <v>930</v>
      </c>
      <c r="E114" s="14">
        <v>1328</v>
      </c>
      <c r="F114" s="15">
        <v>1024</v>
      </c>
    </row>
    <row r="115" spans="1:6">
      <c r="A115" s="9"/>
      <c r="B115" s="12" t="s">
        <v>309</v>
      </c>
      <c r="C115" s="12" t="s">
        <v>263</v>
      </c>
      <c r="D115" s="14">
        <v>1207</v>
      </c>
      <c r="E115" s="14">
        <v>1863</v>
      </c>
      <c r="F115" s="15">
        <v>1375</v>
      </c>
    </row>
    <row r="116" spans="1:6">
      <c r="A116" s="9"/>
      <c r="B116" s="12" t="s">
        <v>309</v>
      </c>
      <c r="C116" s="12" t="s">
        <v>264</v>
      </c>
      <c r="D116" s="14">
        <v>1089</v>
      </c>
      <c r="E116" s="14">
        <v>1554</v>
      </c>
      <c r="F116" s="17">
        <v>945</v>
      </c>
    </row>
    <row r="117" spans="1:6">
      <c r="A117" s="9"/>
      <c r="B117" s="12" t="s">
        <v>309</v>
      </c>
      <c r="C117" s="12" t="s">
        <v>265</v>
      </c>
      <c r="D117" s="14">
        <v>1179</v>
      </c>
      <c r="E117" s="14">
        <v>1541</v>
      </c>
      <c r="F117" s="15">
        <v>1136</v>
      </c>
    </row>
    <row r="118" spans="1:6">
      <c r="A118" s="9"/>
      <c r="B118" s="12" t="s">
        <v>309</v>
      </c>
      <c r="C118" s="12" t="s">
        <v>266</v>
      </c>
      <c r="D118" s="16">
        <v>646</v>
      </c>
      <c r="E118" s="14">
        <v>1144</v>
      </c>
      <c r="F118" s="15">
        <v>1027</v>
      </c>
    </row>
    <row r="119" spans="1:6">
      <c r="A119" s="9"/>
      <c r="B119" s="12" t="s">
        <v>309</v>
      </c>
      <c r="C119" s="12" t="s">
        <v>267</v>
      </c>
      <c r="D119" s="16">
        <v>689</v>
      </c>
      <c r="E119" s="14">
        <v>1352</v>
      </c>
      <c r="F119" s="17">
        <v>777</v>
      </c>
    </row>
    <row r="120" spans="1:6">
      <c r="A120" s="9"/>
      <c r="B120" s="12" t="s">
        <v>309</v>
      </c>
      <c r="C120" s="12" t="s">
        <v>268</v>
      </c>
      <c r="D120" s="16">
        <v>92</v>
      </c>
      <c r="E120" s="14">
        <v>1393</v>
      </c>
      <c r="F120" s="17">
        <v>295</v>
      </c>
    </row>
    <row r="121" spans="1:6">
      <c r="A121" s="9"/>
      <c r="B121" s="12" t="s">
        <v>309</v>
      </c>
      <c r="C121" s="12" t="s">
        <v>269</v>
      </c>
      <c r="D121" s="16">
        <v>361</v>
      </c>
      <c r="E121" s="14">
        <v>4109</v>
      </c>
      <c r="F121" s="17">
        <v>761</v>
      </c>
    </row>
    <row r="122" spans="1:6">
      <c r="A122" s="9"/>
      <c r="B122" s="12" t="s">
        <v>309</v>
      </c>
      <c r="C122" s="12" t="s">
        <v>270</v>
      </c>
      <c r="D122" s="16">
        <v>148</v>
      </c>
      <c r="E122" s="14">
        <v>1510</v>
      </c>
      <c r="F122" s="17">
        <v>300</v>
      </c>
    </row>
    <row r="123" spans="1:6">
      <c r="A123" s="9"/>
      <c r="B123" s="12" t="s">
        <v>309</v>
      </c>
      <c r="C123" s="12" t="s">
        <v>271</v>
      </c>
      <c r="D123" s="16">
        <v>367</v>
      </c>
      <c r="E123" s="14">
        <v>1942</v>
      </c>
      <c r="F123" s="17">
        <v>817</v>
      </c>
    </row>
    <row r="124" spans="1:6">
      <c r="A124" s="9"/>
      <c r="B124" s="12" t="s">
        <v>309</v>
      </c>
      <c r="C124" s="12" t="s">
        <v>272</v>
      </c>
      <c r="D124" s="16">
        <v>96</v>
      </c>
      <c r="E124" s="16">
        <v>249</v>
      </c>
      <c r="F124" s="17">
        <v>191</v>
      </c>
    </row>
    <row r="125" spans="1:6">
      <c r="A125" s="9"/>
      <c r="B125" s="12" t="s">
        <v>309</v>
      </c>
      <c r="C125" s="12" t="s">
        <v>273</v>
      </c>
      <c r="D125" s="16">
        <v>104</v>
      </c>
      <c r="E125" s="16">
        <v>281</v>
      </c>
      <c r="F125" s="17">
        <v>241</v>
      </c>
    </row>
    <row r="126" spans="1:6">
      <c r="A126" s="9"/>
      <c r="B126" s="12" t="s">
        <v>309</v>
      </c>
      <c r="C126" s="12" t="s">
        <v>274</v>
      </c>
      <c r="D126" s="16">
        <v>152</v>
      </c>
      <c r="E126" s="16">
        <v>225</v>
      </c>
      <c r="F126" s="17">
        <v>215</v>
      </c>
    </row>
    <row r="127" spans="1:6">
      <c r="A127" s="9"/>
      <c r="B127" s="12" t="s">
        <v>309</v>
      </c>
      <c r="C127" s="12" t="s">
        <v>275</v>
      </c>
      <c r="D127" s="16">
        <v>661</v>
      </c>
      <c r="E127" s="14">
        <v>1509</v>
      </c>
      <c r="F127" s="17">
        <v>818</v>
      </c>
    </row>
    <row r="128" spans="1:6">
      <c r="A128" s="9"/>
      <c r="B128" s="12" t="s">
        <v>309</v>
      </c>
      <c r="C128" s="12" t="s">
        <v>276</v>
      </c>
      <c r="D128" s="16">
        <v>417</v>
      </c>
      <c r="E128" s="16">
        <v>591</v>
      </c>
      <c r="F128" s="17">
        <v>414</v>
      </c>
    </row>
    <row r="129" spans="1:6">
      <c r="A129" s="9"/>
      <c r="B129" s="12" t="s">
        <v>309</v>
      </c>
      <c r="C129" s="12" t="s">
        <v>277</v>
      </c>
      <c r="D129" s="16">
        <v>588</v>
      </c>
      <c r="E129" s="14">
        <v>1036</v>
      </c>
      <c r="F129" s="17">
        <v>725</v>
      </c>
    </row>
    <row r="130" spans="1:6">
      <c r="A130" s="9"/>
      <c r="B130" s="12" t="s">
        <v>309</v>
      </c>
      <c r="C130" s="12" t="s">
        <v>278</v>
      </c>
      <c r="D130" s="16">
        <v>99</v>
      </c>
      <c r="E130" s="16">
        <v>566</v>
      </c>
      <c r="F130" s="17">
        <v>200</v>
      </c>
    </row>
    <row r="131" spans="1:6">
      <c r="A131" s="9"/>
      <c r="B131" s="12" t="s">
        <v>309</v>
      </c>
      <c r="C131" s="12" t="s">
        <v>279</v>
      </c>
      <c r="D131" s="14">
        <v>1113</v>
      </c>
      <c r="E131" s="14">
        <v>1539</v>
      </c>
      <c r="F131" s="15">
        <v>1209</v>
      </c>
    </row>
    <row r="132" spans="1:6">
      <c r="A132" s="9"/>
      <c r="B132" s="12" t="s">
        <v>309</v>
      </c>
      <c r="C132" s="12" t="s">
        <v>280</v>
      </c>
      <c r="D132" s="14">
        <v>1462</v>
      </c>
      <c r="E132" s="14">
        <v>1993</v>
      </c>
      <c r="F132" s="15">
        <v>1444</v>
      </c>
    </row>
    <row r="133" spans="1:6">
      <c r="A133" s="9"/>
      <c r="B133" s="12" t="s">
        <v>309</v>
      </c>
      <c r="C133" s="12" t="s">
        <v>281</v>
      </c>
      <c r="D133" s="14">
        <v>1094</v>
      </c>
      <c r="E133" s="14">
        <v>1924</v>
      </c>
      <c r="F133" s="15">
        <v>1466</v>
      </c>
    </row>
    <row r="134" spans="1:6">
      <c r="A134" s="9"/>
      <c r="B134" s="12" t="s">
        <v>309</v>
      </c>
      <c r="C134" s="12" t="s">
        <v>282</v>
      </c>
      <c r="D134" s="16">
        <v>924</v>
      </c>
      <c r="E134" s="14">
        <v>1799</v>
      </c>
      <c r="F134" s="15">
        <v>1269</v>
      </c>
    </row>
    <row r="135" spans="1:6">
      <c r="A135" s="9"/>
      <c r="B135" s="12" t="s">
        <v>309</v>
      </c>
      <c r="C135" s="12" t="s">
        <v>283</v>
      </c>
      <c r="D135" s="16">
        <v>0</v>
      </c>
      <c r="E135" s="16">
        <v>0</v>
      </c>
      <c r="F135" s="17">
        <v>0</v>
      </c>
    </row>
    <row r="136" spans="1:6">
      <c r="A136" s="9"/>
      <c r="B136" s="12" t="s">
        <v>309</v>
      </c>
      <c r="C136" s="12" t="s">
        <v>284</v>
      </c>
      <c r="D136" s="16">
        <v>296</v>
      </c>
      <c r="E136" s="16">
        <v>443</v>
      </c>
      <c r="F136" s="17">
        <v>157</v>
      </c>
    </row>
    <row r="137" spans="1:6">
      <c r="A137" s="9"/>
      <c r="B137" s="12" t="s">
        <v>309</v>
      </c>
      <c r="C137" s="12" t="s">
        <v>285</v>
      </c>
      <c r="D137" s="16">
        <v>858</v>
      </c>
      <c r="E137" s="14">
        <v>1562</v>
      </c>
      <c r="F137" s="17">
        <v>832</v>
      </c>
    </row>
    <row r="138" spans="1:6">
      <c r="A138" s="9"/>
      <c r="B138" s="12" t="s">
        <v>309</v>
      </c>
      <c r="C138" s="12" t="s">
        <v>286</v>
      </c>
      <c r="D138" s="16">
        <v>487</v>
      </c>
      <c r="E138" s="16">
        <v>821</v>
      </c>
      <c r="F138" s="17">
        <v>556</v>
      </c>
    </row>
    <row r="139" spans="1:6">
      <c r="A139" s="9"/>
      <c r="B139" s="12" t="s">
        <v>309</v>
      </c>
      <c r="C139" s="12" t="s">
        <v>287</v>
      </c>
      <c r="D139" s="16">
        <v>985</v>
      </c>
      <c r="E139" s="14">
        <v>2100</v>
      </c>
      <c r="F139" s="15">
        <v>1402</v>
      </c>
    </row>
    <row r="140" spans="1:6">
      <c r="A140" s="9"/>
      <c r="B140" s="12" t="s">
        <v>309</v>
      </c>
      <c r="C140" s="12" t="s">
        <v>288</v>
      </c>
      <c r="D140" s="16">
        <v>430</v>
      </c>
      <c r="E140" s="16">
        <v>976</v>
      </c>
      <c r="F140" s="17">
        <v>616</v>
      </c>
    </row>
    <row r="141" spans="1:6">
      <c r="A141" s="9"/>
      <c r="B141" s="12" t="s">
        <v>309</v>
      </c>
      <c r="C141" s="12" t="s">
        <v>289</v>
      </c>
      <c r="D141" s="16">
        <v>11</v>
      </c>
      <c r="E141" s="16">
        <v>4</v>
      </c>
      <c r="F141" s="17">
        <v>351</v>
      </c>
    </row>
    <row r="142" spans="1:6">
      <c r="A142" s="9"/>
      <c r="B142" s="12" t="s">
        <v>309</v>
      </c>
      <c r="C142" s="12" t="s">
        <v>290</v>
      </c>
      <c r="D142" s="16">
        <v>370</v>
      </c>
      <c r="E142" s="16">
        <v>480</v>
      </c>
      <c r="F142" s="17">
        <v>398</v>
      </c>
    </row>
    <row r="143" spans="1:6">
      <c r="A143" s="9"/>
      <c r="B143" s="12" t="s">
        <v>309</v>
      </c>
      <c r="C143" s="12" t="s">
        <v>291</v>
      </c>
      <c r="D143" s="16">
        <v>778</v>
      </c>
      <c r="E143" s="14">
        <v>1343</v>
      </c>
      <c r="F143" s="15">
        <v>1071</v>
      </c>
    </row>
    <row r="144" spans="1:6">
      <c r="A144" s="9"/>
      <c r="B144" s="12" t="s">
        <v>309</v>
      </c>
      <c r="C144" s="12" t="s">
        <v>292</v>
      </c>
      <c r="D144" s="16">
        <v>783</v>
      </c>
      <c r="E144" s="14">
        <v>1429</v>
      </c>
      <c r="F144" s="15">
        <v>1018</v>
      </c>
    </row>
    <row r="145" spans="1:6">
      <c r="A145" s="9"/>
      <c r="B145" s="12" t="s">
        <v>309</v>
      </c>
      <c r="C145" s="12" t="s">
        <v>293</v>
      </c>
      <c r="D145" s="14">
        <v>1376</v>
      </c>
      <c r="E145" s="14">
        <v>2314</v>
      </c>
      <c r="F145" s="15">
        <v>1440</v>
      </c>
    </row>
    <row r="146" spans="1:6">
      <c r="A146" s="9"/>
      <c r="B146" s="12" t="s">
        <v>309</v>
      </c>
      <c r="C146" s="12" t="s">
        <v>294</v>
      </c>
      <c r="D146" s="16">
        <v>717</v>
      </c>
      <c r="E146" s="14">
        <v>1732</v>
      </c>
      <c r="F146" s="15">
        <v>1623</v>
      </c>
    </row>
    <row r="147" spans="1:6">
      <c r="A147" s="9"/>
      <c r="B147" s="12" t="s">
        <v>309</v>
      </c>
      <c r="C147" s="12" t="s">
        <v>295</v>
      </c>
      <c r="D147" s="16">
        <v>301</v>
      </c>
      <c r="E147" s="16">
        <v>720</v>
      </c>
      <c r="F147" s="17">
        <v>629</v>
      </c>
    </row>
    <row r="148" spans="1:6">
      <c r="A148" s="9"/>
      <c r="B148" s="12" t="s">
        <v>309</v>
      </c>
      <c r="C148" s="12" t="s">
        <v>296</v>
      </c>
      <c r="D148" s="16">
        <v>179</v>
      </c>
      <c r="E148" s="16">
        <v>303</v>
      </c>
      <c r="F148" s="17">
        <v>258</v>
      </c>
    </row>
    <row r="149" spans="1:6">
      <c r="A149" s="9"/>
      <c r="B149" s="12" t="s">
        <v>309</v>
      </c>
      <c r="C149" s="12" t="s">
        <v>297</v>
      </c>
      <c r="D149" s="16">
        <v>919</v>
      </c>
      <c r="E149" s="14">
        <v>1445</v>
      </c>
      <c r="F149" s="15">
        <v>1250</v>
      </c>
    </row>
    <row r="150" spans="1:6">
      <c r="A150" s="9"/>
      <c r="B150" s="12" t="s">
        <v>309</v>
      </c>
      <c r="C150" s="12" t="s">
        <v>298</v>
      </c>
      <c r="D150" s="16">
        <v>396</v>
      </c>
      <c r="E150" s="16">
        <v>704</v>
      </c>
      <c r="F150" s="17">
        <v>712</v>
      </c>
    </row>
    <row r="151" spans="1:6">
      <c r="A151" s="9"/>
      <c r="B151" s="12" t="s">
        <v>309</v>
      </c>
      <c r="C151" s="12" t="s">
        <v>299</v>
      </c>
      <c r="D151" s="16">
        <v>387</v>
      </c>
      <c r="E151" s="16">
        <v>735</v>
      </c>
      <c r="F151" s="17">
        <v>677</v>
      </c>
    </row>
    <row r="152" spans="1:6">
      <c r="A152" s="9"/>
      <c r="B152" s="12" t="s">
        <v>309</v>
      </c>
      <c r="C152" s="12" t="s">
        <v>300</v>
      </c>
      <c r="D152" s="16">
        <v>869</v>
      </c>
      <c r="E152" s="14">
        <v>1267</v>
      </c>
      <c r="F152" s="17">
        <v>801</v>
      </c>
    </row>
    <row r="153" spans="1:6">
      <c r="A153" s="9"/>
      <c r="B153" s="12" t="s">
        <v>309</v>
      </c>
      <c r="C153" s="12" t="s">
        <v>301</v>
      </c>
      <c r="D153" s="14">
        <v>1500</v>
      </c>
      <c r="E153" s="14">
        <v>2104</v>
      </c>
      <c r="F153" s="15">
        <v>1570</v>
      </c>
    </row>
    <row r="154" spans="1:6">
      <c r="A154" s="9"/>
      <c r="B154" s="12" t="s">
        <v>309</v>
      </c>
      <c r="C154" s="12" t="s">
        <v>302</v>
      </c>
      <c r="D154" s="14">
        <v>1064</v>
      </c>
      <c r="E154" s="14">
        <v>1509</v>
      </c>
      <c r="F154" s="15">
        <v>1126</v>
      </c>
    </row>
    <row r="155" spans="1:6">
      <c r="A155" s="9"/>
      <c r="B155" s="12" t="s">
        <v>309</v>
      </c>
      <c r="C155" s="12" t="s">
        <v>303</v>
      </c>
      <c r="D155" s="14">
        <v>1272</v>
      </c>
      <c r="E155" s="14">
        <v>2058</v>
      </c>
      <c r="F155" s="15">
        <v>1702</v>
      </c>
    </row>
    <row r="156" spans="1:6">
      <c r="A156" s="9"/>
      <c r="B156" s="12" t="s">
        <v>309</v>
      </c>
      <c r="C156" s="12" t="s">
        <v>304</v>
      </c>
      <c r="D156" s="16">
        <v>916</v>
      </c>
      <c r="E156" s="14">
        <v>1326</v>
      </c>
      <c r="F156" s="17">
        <v>840</v>
      </c>
    </row>
    <row r="157" spans="1:6">
      <c r="A157" s="9"/>
      <c r="B157" s="12" t="s">
        <v>309</v>
      </c>
      <c r="C157" s="12" t="s">
        <v>305</v>
      </c>
      <c r="D157" s="16">
        <v>877</v>
      </c>
      <c r="E157" s="14">
        <v>1498</v>
      </c>
      <c r="F157" s="15">
        <v>1274</v>
      </c>
    </row>
    <row r="158" spans="1:6">
      <c r="A158" s="9"/>
      <c r="B158" s="12" t="s">
        <v>309</v>
      </c>
      <c r="C158" s="12" t="s">
        <v>306</v>
      </c>
      <c r="D158" s="16">
        <v>716</v>
      </c>
      <c r="E158" s="14">
        <v>1119</v>
      </c>
      <c r="F158" s="17">
        <v>837</v>
      </c>
    </row>
    <row r="159" spans="1:6">
      <c r="A159" s="9"/>
      <c r="B159" s="12" t="s">
        <v>309</v>
      </c>
      <c r="C159" s="12" t="s">
        <v>307</v>
      </c>
      <c r="D159" s="16">
        <v>772</v>
      </c>
      <c r="E159" s="14">
        <v>1410</v>
      </c>
      <c r="F159" s="15">
        <v>1199</v>
      </c>
    </row>
    <row r="160" spans="1:6">
      <c r="A160" s="9"/>
      <c r="B160" s="12" t="s">
        <v>309</v>
      </c>
      <c r="C160" s="12" t="s">
        <v>308</v>
      </c>
      <c r="D160" s="14">
        <v>1190</v>
      </c>
      <c r="E160" s="14">
        <v>1969</v>
      </c>
      <c r="F160" s="15">
        <v>1597</v>
      </c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</sheetData>
  <mergeCells count="3">
    <mergeCell ref="K2:L2"/>
    <mergeCell ref="K5:L5"/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nawid Khichi</dc:creator>
  <cp:lastModifiedBy>Lenovo</cp:lastModifiedBy>
  <dcterms:created xsi:type="dcterms:W3CDTF">2024-01-14T12:15:09Z</dcterms:created>
  <dcterms:modified xsi:type="dcterms:W3CDTF">2024-08-08T10:22:53Z</dcterms:modified>
</cp:coreProperties>
</file>