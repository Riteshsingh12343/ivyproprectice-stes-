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E:\IVY pro school\Excel\"/>
    </mc:Choice>
  </mc:AlternateContent>
  <bookViews>
    <workbookView xWindow="0" yWindow="0" windowWidth="20490" windowHeight="8205" firstSheet="4" activeTab="4"/>
  </bookViews>
  <sheets>
    <sheet name="Email Problem solution " sheetId="1" r:id="rId1"/>
    <sheet name="ID Price " sheetId="2" r:id="rId2"/>
    <sheet name="QuatrlyGnpdata solution" sheetId="3" r:id="rId3"/>
    <sheet name="Showbiz solution" sheetId="4" r:id="rId4"/>
    <sheet name="TextTile data solution " sheetId="5" r:id="rId5"/>
  </sheets>
  <calcPr calcId="162913"/>
  <webPublishing codePage="1252"/>
</workbook>
</file>

<file path=xl/calcChain.xml><?xml version="1.0" encoding="utf-8"?>
<calcChain xmlns="http://schemas.openxmlformats.org/spreadsheetml/2006/main">
  <c r="F65" i="5" l="1"/>
  <c r="D65" i="5" s="1"/>
  <c r="B65" i="5"/>
  <c r="F64" i="5"/>
  <c r="D64" i="5" s="1"/>
  <c r="B64" i="5"/>
  <c r="F63" i="5"/>
  <c r="B63" i="5"/>
  <c r="F62" i="5"/>
  <c r="B62" i="5"/>
  <c r="F61" i="5"/>
  <c r="B61" i="5"/>
  <c r="F60" i="5"/>
  <c r="B60" i="5"/>
  <c r="F59" i="5"/>
  <c r="B59" i="5"/>
  <c r="F58" i="5"/>
  <c r="B58" i="5"/>
  <c r="F57" i="5"/>
  <c r="B57" i="5"/>
  <c r="F56" i="5"/>
  <c r="B56" i="5"/>
  <c r="F55" i="5"/>
  <c r="B55" i="5"/>
  <c r="F54" i="5"/>
  <c r="B54" i="5"/>
  <c r="F53" i="5"/>
  <c r="B53" i="5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B43" i="5"/>
  <c r="F42" i="5"/>
  <c r="B42" i="5"/>
  <c r="F41" i="5"/>
  <c r="B41" i="5"/>
  <c r="F40" i="5"/>
  <c r="B40" i="5"/>
  <c r="F39" i="5"/>
  <c r="B39" i="5"/>
  <c r="F38" i="5"/>
  <c r="B38" i="5"/>
  <c r="F37" i="5"/>
  <c r="B37" i="5"/>
  <c r="F36" i="5"/>
  <c r="B36" i="5"/>
  <c r="F35" i="5"/>
  <c r="B35" i="5"/>
  <c r="F34" i="5"/>
  <c r="B34" i="5"/>
  <c r="F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D17" i="5" s="1"/>
  <c r="B17" i="5"/>
  <c r="F16" i="5"/>
  <c r="D16" i="5" s="1"/>
  <c r="B16" i="5"/>
  <c r="F15" i="5"/>
  <c r="D15" i="5" s="1"/>
  <c r="B15" i="5"/>
  <c r="F14" i="5"/>
  <c r="D14" i="5" s="1"/>
  <c r="B14" i="5"/>
  <c r="F13" i="5"/>
  <c r="D13" i="5" s="1"/>
  <c r="B13" i="5"/>
  <c r="F12" i="5"/>
  <c r="D12" i="5" s="1"/>
  <c r="B12" i="5"/>
  <c r="F11" i="5"/>
  <c r="D11" i="5" s="1"/>
  <c r="B11" i="5"/>
  <c r="F10" i="5"/>
  <c r="D10" i="5" s="1"/>
  <c r="B10" i="5"/>
  <c r="F9" i="5"/>
  <c r="D9" i="5" s="1"/>
  <c r="B9" i="5"/>
  <c r="F8" i="5"/>
  <c r="D8" i="5" s="1"/>
  <c r="B8" i="5"/>
  <c r="F7" i="5"/>
  <c r="D7" i="5" s="1"/>
  <c r="B7" i="5"/>
  <c r="F6" i="5"/>
  <c r="D6" i="5" s="1"/>
  <c r="B6" i="5"/>
  <c r="F5" i="5"/>
  <c r="D5" i="5" s="1"/>
  <c r="B5" i="5"/>
  <c r="F4" i="5"/>
  <c r="D4" i="5" s="1"/>
  <c r="B4" i="5"/>
  <c r="F3" i="5"/>
  <c r="D3" i="5" s="1"/>
  <c r="B3" i="5"/>
  <c r="F2" i="5"/>
  <c r="D2" i="5" s="1"/>
  <c r="B2" i="5"/>
  <c r="C15" i="5" l="1"/>
  <c r="C4" i="5"/>
  <c r="C16" i="5"/>
  <c r="C3" i="5"/>
  <c r="C6" i="5"/>
  <c r="C2" i="5"/>
  <c r="C12" i="5"/>
  <c r="C8" i="5"/>
  <c r="C11" i="5"/>
  <c r="C14" i="5"/>
  <c r="C7" i="5"/>
  <c r="C10" i="5"/>
  <c r="D25" i="5"/>
  <c r="C25" i="5"/>
  <c r="D18" i="5"/>
  <c r="C18" i="5"/>
  <c r="D22" i="5"/>
  <c r="C22" i="5"/>
  <c r="D24" i="5"/>
  <c r="C24" i="5"/>
  <c r="D28" i="5"/>
  <c r="C28" i="5"/>
  <c r="D32" i="5"/>
  <c r="C32" i="5"/>
  <c r="D38" i="5"/>
  <c r="C38" i="5"/>
  <c r="D40" i="5"/>
  <c r="C40" i="5"/>
  <c r="D42" i="5"/>
  <c r="C42" i="5"/>
  <c r="D44" i="5"/>
  <c r="C44" i="5"/>
  <c r="D46" i="5"/>
  <c r="C46" i="5"/>
  <c r="D48" i="5"/>
  <c r="C48" i="5"/>
  <c r="D50" i="5"/>
  <c r="C50" i="5"/>
  <c r="D52" i="5"/>
  <c r="C52" i="5"/>
  <c r="D54" i="5"/>
  <c r="C54" i="5"/>
  <c r="D56" i="5"/>
  <c r="C56" i="5"/>
  <c r="D58" i="5"/>
  <c r="C58" i="5"/>
  <c r="D60" i="5"/>
  <c r="C60" i="5"/>
  <c r="D62" i="5"/>
  <c r="C62" i="5"/>
  <c r="D21" i="5"/>
  <c r="C21" i="5"/>
  <c r="D27" i="5"/>
  <c r="C27" i="5"/>
  <c r="D20" i="5"/>
  <c r="C20" i="5"/>
  <c r="D26" i="5"/>
  <c r="C26" i="5"/>
  <c r="D30" i="5"/>
  <c r="C30" i="5"/>
  <c r="D34" i="5"/>
  <c r="C34" i="5"/>
  <c r="D36" i="5"/>
  <c r="C36" i="5"/>
  <c r="C5" i="5"/>
  <c r="C9" i="5"/>
  <c r="C13" i="5"/>
  <c r="C17" i="5"/>
  <c r="D19" i="5"/>
  <c r="C19" i="5"/>
  <c r="D23" i="5"/>
  <c r="C23" i="5"/>
  <c r="D29" i="5"/>
  <c r="C29" i="5"/>
  <c r="D31" i="5"/>
  <c r="C31" i="5"/>
  <c r="D33" i="5"/>
  <c r="C33" i="5"/>
  <c r="D35" i="5"/>
  <c r="C35" i="5"/>
  <c r="D37" i="5"/>
  <c r="C37" i="5"/>
  <c r="D39" i="5"/>
  <c r="C39" i="5"/>
  <c r="D41" i="5"/>
  <c r="C41" i="5"/>
  <c r="D43" i="5"/>
  <c r="C43" i="5"/>
  <c r="D45" i="5"/>
  <c r="C45" i="5"/>
  <c r="D47" i="5"/>
  <c r="C47" i="5"/>
  <c r="D49" i="5"/>
  <c r="C49" i="5"/>
  <c r="D51" i="5"/>
  <c r="C51" i="5"/>
  <c r="D53" i="5"/>
  <c r="C53" i="5"/>
  <c r="D55" i="5"/>
  <c r="C55" i="5"/>
  <c r="D57" i="5"/>
  <c r="C57" i="5"/>
  <c r="D59" i="5"/>
  <c r="C59" i="5"/>
  <c r="D61" i="5"/>
  <c r="C61" i="5"/>
  <c r="D63" i="5"/>
  <c r="C63" i="5"/>
  <c r="C64" i="5"/>
  <c r="C65" i="5"/>
  <c r="L7" i="4" l="1"/>
  <c r="L8" i="4"/>
  <c r="L9" i="4"/>
  <c r="J7" i="4"/>
  <c r="J8" i="4"/>
  <c r="J9" i="4"/>
  <c r="L6" i="4"/>
  <c r="J6" i="4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10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11" i="3"/>
  <c r="E12" i="3"/>
  <c r="E13" i="3"/>
  <c r="E14" i="3"/>
  <c r="E15" i="3"/>
  <c r="E10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0" i="3"/>
  <c r="D21" i="3"/>
  <c r="D22" i="3"/>
  <c r="D12" i="3"/>
  <c r="D13" i="3"/>
  <c r="D14" i="3"/>
  <c r="D15" i="3"/>
  <c r="D16" i="3"/>
  <c r="D17" i="3"/>
  <c r="D18" i="3"/>
  <c r="D19" i="3"/>
  <c r="D11" i="3"/>
  <c r="D10" i="3"/>
  <c r="E15" i="2"/>
  <c r="E14" i="2"/>
  <c r="E13" i="2"/>
  <c r="E12" i="2"/>
  <c r="E11" i="2"/>
  <c r="D11" i="2"/>
  <c r="H4" i="1" l="1"/>
  <c r="H5" i="1"/>
  <c r="H6" i="1"/>
  <c r="H7" i="1"/>
  <c r="H8" i="1"/>
  <c r="H9" i="1"/>
  <c r="H10" i="1"/>
  <c r="H11" i="1"/>
  <c r="H3" i="1"/>
</calcChain>
</file>

<file path=xl/sharedStrings.xml><?xml version="1.0" encoding="utf-8"?>
<sst xmlns="http://schemas.openxmlformats.org/spreadsheetml/2006/main" count="324" uniqueCount="324">
  <si>
    <t>First</t>
  </si>
  <si>
    <t>Last Name</t>
  </si>
  <si>
    <t>Email</t>
  </si>
  <si>
    <t>Calista</t>
  </si>
  <si>
    <t>Flockhart</t>
  </si>
  <si>
    <t>Peyton</t>
  </si>
  <si>
    <t>Manning</t>
  </si>
  <si>
    <t>Jessica</t>
  </si>
  <si>
    <t>Simpson</t>
  </si>
  <si>
    <t>Britney</t>
  </si>
  <si>
    <t>Spears</t>
  </si>
  <si>
    <t>Vince</t>
  </si>
  <si>
    <t>Vaughn</t>
  </si>
  <si>
    <t>Owen</t>
  </si>
  <si>
    <t>Wilson</t>
  </si>
  <si>
    <t>Dirk</t>
  </si>
  <si>
    <t>Nowitzki</t>
  </si>
  <si>
    <t>Duane</t>
  </si>
  <si>
    <t>Wade</t>
  </si>
  <si>
    <t>Albert</t>
  </si>
  <si>
    <t>Puhols</t>
  </si>
  <si>
    <t>Last</t>
  </si>
  <si>
    <t>ID and Price</t>
  </si>
  <si>
    <t>xa1 304</t>
  </si>
  <si>
    <t>za23 23</t>
  </si>
  <si>
    <t>xa13 4123</t>
  </si>
  <si>
    <t>zzx 12</t>
  </si>
  <si>
    <t>a12q 374</t>
  </si>
  <si>
    <t xml:space="preserve">ID </t>
  </si>
  <si>
    <t xml:space="preserve">Price </t>
  </si>
  <si>
    <t>http://forecasts.org/data/index.htm</t>
  </si>
  <si>
    <t>Real Gross National Product</t>
  </si>
  <si>
    <t xml:space="preserve"> </t>
  </si>
  <si>
    <t>Billions of Chained 1996 Dollars, Seasonally Adjusted Annual Rate</t>
  </si>
  <si>
    <t>Source: U.S. Department of Commerce, Bureau of Economic Analysis</t>
  </si>
  <si>
    <t xml:space="preserve">  DATE      GNPC96</t>
  </si>
  <si>
    <t>1950.1      1618.4</t>
  </si>
  <si>
    <t>Year</t>
  </si>
  <si>
    <t xml:space="preserve">Quarter </t>
  </si>
  <si>
    <t xml:space="preserve">Gnp Value </t>
  </si>
  <si>
    <t>1950.2      1667.2</t>
  </si>
  <si>
    <t>1950.3      1733.1</t>
  </si>
  <si>
    <t>1950.4      1763.9</t>
  </si>
  <si>
    <t>1951.1      1782.9</t>
  </si>
  <si>
    <t>1951.2      1814.9</t>
  </si>
  <si>
    <t>1951.3      1851.6</t>
  </si>
  <si>
    <t>1951.4      1855.8</t>
  </si>
  <si>
    <t>1952.1      1876.7</t>
  </si>
  <si>
    <t>1952.2      1878.2</t>
  </si>
  <si>
    <t>1952.3      1889.9</t>
  </si>
  <si>
    <t>1952.4      1951.9</t>
  </si>
  <si>
    <t>1953.1      1987.4</t>
  </si>
  <si>
    <t>1953.2      2004.3</t>
  </si>
  <si>
    <t>1953.3      1990.2</t>
  </si>
  <si>
    <t>1953.4      1958.6</t>
  </si>
  <si>
    <t>1954.1      1949.7</t>
  </si>
  <si>
    <t>1954.2      1952.6</t>
  </si>
  <si>
    <t>1954.3      1973.7</t>
  </si>
  <si>
    <t>1954.4      2014.1</t>
  </si>
  <si>
    <t>1955.1      2071.6</t>
  </si>
  <si>
    <t>1955.2      2104.3</t>
  </si>
  <si>
    <t>1955.3      2132.4</t>
  </si>
  <si>
    <t>1955.4      2143.9</t>
  </si>
  <si>
    <t>1956.1      2136.4</t>
  </si>
  <si>
    <t>1956.2      2152.8</t>
  </si>
  <si>
    <t>1956.3      2150.8</t>
  </si>
  <si>
    <t>1956.4      2184.1</t>
  </si>
  <si>
    <t>1957.1      2198.8</t>
  </si>
  <si>
    <t>1957.2      2195.0</t>
  </si>
  <si>
    <t>1957.3      2215.5</t>
  </si>
  <si>
    <t>1957.4      2189.2</t>
  </si>
  <si>
    <t>1958.1      2131.0</t>
  </si>
  <si>
    <t>1958.2      2143.6</t>
  </si>
  <si>
    <t>1958.3      2190.9</t>
  </si>
  <si>
    <t>1958.4      2239.7</t>
  </si>
  <si>
    <t>1959.1      2286.2</t>
  </si>
  <si>
    <t>1959.2      2345.5</t>
  </si>
  <si>
    <t>1959.3      2345.5</t>
  </si>
  <si>
    <t>1959.4      2354.1</t>
  </si>
  <si>
    <t>1960.1      2405.4</t>
  </si>
  <si>
    <t>1960.2      2393.9</t>
  </si>
  <si>
    <t>1960.3      2398.9</t>
  </si>
  <si>
    <t>1960.4      2369.3</t>
  </si>
  <si>
    <t>1961.1      2383.7</t>
  </si>
  <si>
    <t>1961.2      2427.1</t>
  </si>
  <si>
    <t>1961.3      2467.2</t>
  </si>
  <si>
    <t>1961.4      2517.5</t>
  </si>
  <si>
    <t>1962.1      2561.0</t>
  </si>
  <si>
    <t>1962.2      2590.3</t>
  </si>
  <si>
    <t>1962.3      2615.7</t>
  </si>
  <si>
    <t>1962.4      2625.1</t>
  </si>
  <si>
    <t>1963.1      2654.8</t>
  </si>
  <si>
    <t>1963.2      2688.2</t>
  </si>
  <si>
    <t>1963.3      2739.8</t>
  </si>
  <si>
    <t>1963.4      2760.3</t>
  </si>
  <si>
    <t>1964.1      2823.2</t>
  </si>
  <si>
    <t>1964.2      2855.7</t>
  </si>
  <si>
    <t>1964.3      2894.7</t>
  </si>
  <si>
    <t>1964.4      2900.5</t>
  </si>
  <si>
    <t>1965.1      2974.0</t>
  </si>
  <si>
    <t>1965.2      3014.6</t>
  </si>
  <si>
    <t>1965.3      3073.6</t>
  </si>
  <si>
    <t>1965.4      3144.5</t>
  </si>
  <si>
    <t>1966.1      3222.6</t>
  </si>
  <si>
    <t>1966.2      3234.8</t>
  </si>
  <si>
    <t>1966.3      3254.7</t>
  </si>
  <si>
    <t>1966.4      3283.7</t>
  </si>
  <si>
    <t>1967.1      3313.4</t>
  </si>
  <si>
    <t>1967.2      3310.7</t>
  </si>
  <si>
    <t>1967.3      3336.6</t>
  </si>
  <si>
    <t>1967.4      3360.8</t>
  </si>
  <si>
    <t>1968.1      3429.2</t>
  </si>
  <si>
    <t>1968.2      3488.3</t>
  </si>
  <si>
    <t>1968.3      3513.4</t>
  </si>
  <si>
    <t>1968.4      3528.1</t>
  </si>
  <si>
    <t>1969.1      3582.2</t>
  </si>
  <si>
    <t>1969.2      3590.6</t>
  </si>
  <si>
    <t>1969.3      3610.3</t>
  </si>
  <si>
    <t>1969.4      3593.3</t>
  </si>
  <si>
    <t>1970.1      3589.1</t>
  </si>
  <si>
    <t>1970.2      3597.4</t>
  </si>
  <si>
    <t>1970.3      3628.3</t>
  </si>
  <si>
    <t>1970.4      3587.6</t>
  </si>
  <si>
    <t>1971.1      3691.3</t>
  </si>
  <si>
    <t>1971.2      3712.8</t>
  </si>
  <si>
    <t>1971.3      3738.4</t>
  </si>
  <si>
    <t>1971.4      3749.2</t>
  </si>
  <si>
    <t>1972.1      3823.4</t>
  </si>
  <si>
    <t>1972.2      3910.0</t>
  </si>
  <si>
    <t>1972.3      3950.7</t>
  </si>
  <si>
    <t>1972.4      4018.7</t>
  </si>
  <si>
    <t>1973.1      4125.0</t>
  </si>
  <si>
    <t>1973.2      4168.3</t>
  </si>
  <si>
    <t>1973.3      4158.0</t>
  </si>
  <si>
    <t>1973.4      4192.5</t>
  </si>
  <si>
    <t>1974.1      4168.1</t>
  </si>
  <si>
    <t>1974.2      4176.5</t>
  </si>
  <si>
    <t>1974.3      4126.5</t>
  </si>
  <si>
    <t>1974.4      4098.0</t>
  </si>
  <si>
    <t>1975.1      4040.1</t>
  </si>
  <si>
    <t>1975.2      4075.6</t>
  </si>
  <si>
    <t>1975.3      4148.4</t>
  </si>
  <si>
    <t>1975.4      4206.7</t>
  </si>
  <si>
    <t>1976.1      4304.2</t>
  </si>
  <si>
    <t>1976.2      4341.2</t>
  </si>
  <si>
    <t>1976.3      4362.0</t>
  </si>
  <si>
    <t>1976.4      4398.4</t>
  </si>
  <si>
    <t>1977.1      4457.6</t>
  </si>
  <si>
    <t>1977.2      4535.9</t>
  </si>
  <si>
    <t>1977.3      4616.4</t>
  </si>
  <si>
    <t>1977.4      4616.6</t>
  </si>
  <si>
    <t>1978.1      4636.0</t>
  </si>
  <si>
    <t>1978.2      4804.8</t>
  </si>
  <si>
    <t>1978.3      4854.6</t>
  </si>
  <si>
    <t>1978.4      4925.8</t>
  </si>
  <si>
    <t>1979.1      4939.6</t>
  </si>
  <si>
    <t>1979.2      4949.3</t>
  </si>
  <si>
    <t>1979.3      4995.6</t>
  </si>
  <si>
    <t>1979.4      5011.4</t>
  </si>
  <si>
    <t>1980.1      5028.8</t>
  </si>
  <si>
    <t>1980.2      4922.5</t>
  </si>
  <si>
    <t>1980.3      4911.3</t>
  </si>
  <si>
    <t>1980.4      4986.3</t>
  </si>
  <si>
    <t>1981.1      5086.4</t>
  </si>
  <si>
    <t>1981.2      5048.1</t>
  </si>
  <si>
    <t>1981.3      5110.5</t>
  </si>
  <si>
    <t>1981.4      5056.8</t>
  </si>
  <si>
    <t>1982.1      4969.4</t>
  </si>
  <si>
    <t>1982.2      4996.9</t>
  </si>
  <si>
    <t>1982.3      4963.4</t>
  </si>
  <si>
    <t>1982.4      4964.8</t>
  </si>
  <si>
    <t>1983.1      5021.5</t>
  </si>
  <si>
    <t>1983.2      5142.2</t>
  </si>
  <si>
    <t>1983.3      5233.9</t>
  </si>
  <si>
    <t>1983.4      5342.0</t>
  </si>
  <si>
    <t>1984.1      5452.6</t>
  </si>
  <si>
    <t>1984.2      5544.3</t>
  </si>
  <si>
    <t>1984.3      5591.1</t>
  </si>
  <si>
    <t>1984.4      5627.1</t>
  </si>
  <si>
    <t>1985.1      5664.3</t>
  </si>
  <si>
    <t>1985.2      5710.9</t>
  </si>
  <si>
    <t>1985.3      5788.6</t>
  </si>
  <si>
    <t>1985.4      5839.6</t>
  </si>
  <si>
    <t>1986.1      5887.3</t>
  </si>
  <si>
    <t>1986.2      5901.9</t>
  </si>
  <si>
    <t>1986.3      5959.0</t>
  </si>
  <si>
    <t>1986.4      5981.7</t>
  </si>
  <si>
    <t>1987.1      6027.6</t>
  </si>
  <si>
    <t>1987.2      6095.8</t>
  </si>
  <si>
    <t>1987.3      6145.8</t>
  </si>
  <si>
    <t>1987.4      6254.1</t>
  </si>
  <si>
    <t>1988.1      6302.0</t>
  </si>
  <si>
    <t>1988.2      6372.8</t>
  </si>
  <si>
    <t>1988.3      6402.0</t>
  </si>
  <si>
    <t>1988.4      6487.4</t>
  </si>
  <si>
    <t>1989.1      6565.6</t>
  </si>
  <si>
    <t>1989.2      6599.7</t>
  </si>
  <si>
    <t>1989.3      6633.4</t>
  </si>
  <si>
    <t>1989.4      6663.4</t>
  </si>
  <si>
    <t>1990.1      6743.6</t>
  </si>
  <si>
    <t>1990.2      6760.8</t>
  </si>
  <si>
    <t>1990.3      6742.6</t>
  </si>
  <si>
    <t>1990.4      6713.3</t>
  </si>
  <si>
    <t>1991.1      6667.4</t>
  </si>
  <si>
    <t>1991.2      6692.1</t>
  </si>
  <si>
    <t>1991.3      6704.7</t>
  </si>
  <si>
    <t>1991.4      6749.4</t>
  </si>
  <si>
    <t>1992.1      6811.1</t>
  </si>
  <si>
    <t>1992.2      6873.8</t>
  </si>
  <si>
    <t>1992.3      6923.3</t>
  </si>
  <si>
    <t>1992.4      7015.1</t>
  </si>
  <si>
    <t>1993.1      7020.9</t>
  </si>
  <si>
    <t>1993.2      7056.0</t>
  </si>
  <si>
    <t>1993.3      7092.4</t>
  </si>
  <si>
    <t>1993.4      7182.1</t>
  </si>
  <si>
    <t>1994.1      7249.8</t>
  </si>
  <si>
    <t>1994.2      7346.3</t>
  </si>
  <si>
    <t>1994.3      7385.1</t>
  </si>
  <si>
    <t>1994.4      7476.0</t>
  </si>
  <si>
    <t>1995.1      7510.2</t>
  </si>
  <si>
    <t>1995.2      7528.6</t>
  </si>
  <si>
    <t>1995.3      7572.3</t>
  </si>
  <si>
    <t>1995.4      7645.2</t>
  </si>
  <si>
    <t>1996.1      7703.1</t>
  </si>
  <si>
    <t>1996.2      7820.4</t>
  </si>
  <si>
    <t>1996.3      7853.5</t>
  </si>
  <si>
    <t>1996.4      7947.9</t>
  </si>
  <si>
    <t>1997.1      8025.1</t>
  </si>
  <si>
    <t>1997.2      8145.6</t>
  </si>
  <si>
    <t>1997.3      8225.1</t>
  </si>
  <si>
    <t>1997.4      8276.9</t>
  </si>
  <si>
    <t>1998.1      8405.4</t>
  </si>
  <si>
    <t>1998.2      8448.7</t>
  </si>
  <si>
    <t>1998.3      8517.6</t>
  </si>
  <si>
    <t>1998.4      8662.0</t>
  </si>
  <si>
    <t>1999.1      8755.5</t>
  </si>
  <si>
    <t>1999.2      8801.8</t>
  </si>
  <si>
    <t>1999.3      8906.4</t>
  </si>
  <si>
    <t>1999.4      9071.1</t>
  </si>
  <si>
    <t>2000.1      9119.7</t>
  </si>
  <si>
    <t>2000.2      9233.0</t>
  </si>
  <si>
    <t>2000.3      9238.2</t>
  </si>
  <si>
    <t>2000.4      9274.0</t>
  </si>
  <si>
    <t>2001.1      9241.7</t>
  </si>
  <si>
    <t>2001.2      9224.3</t>
  </si>
  <si>
    <t>2001.3      9199.8</t>
  </si>
  <si>
    <t>2001.4      9283.5</t>
  </si>
  <si>
    <t>2002.1      9367.5</t>
  </si>
  <si>
    <t>2002.2      9379.0</t>
  </si>
  <si>
    <t>Allie Mcbeal 1200 Lawyer Drive</t>
  </si>
  <si>
    <t>Drew Carey 1000 Hollywood Lane</t>
  </si>
  <si>
    <t>Britney Spears 300 Singer Road</t>
  </si>
  <si>
    <t>Peyton Manning 500 QB Street</t>
  </si>
  <si>
    <t xml:space="preserve">Name </t>
  </si>
  <si>
    <t xml:space="preserve"> Street Address</t>
  </si>
  <si>
    <t xml:space="preserve">Style </t>
  </si>
  <si>
    <t xml:space="preserve">Color </t>
  </si>
  <si>
    <t xml:space="preserve">Size </t>
  </si>
  <si>
    <t>Item</t>
  </si>
  <si>
    <t>Helper Column</t>
  </si>
  <si>
    <t>100's:100-605XXl</t>
  </si>
  <si>
    <t>100's:100-65XL</t>
  </si>
  <si>
    <t>100's:100-65XXL</t>
  </si>
  <si>
    <t>100's:100-06M</t>
  </si>
  <si>
    <t>100's:100-06L</t>
  </si>
  <si>
    <t>100's:100-06XL</t>
  </si>
  <si>
    <t>100's:100-06XXL</t>
  </si>
  <si>
    <t>100's:100-05M</t>
  </si>
  <si>
    <t>100's:100-05L</t>
  </si>
  <si>
    <t>100's:100-05XL</t>
  </si>
  <si>
    <t>100's:100-05XXL</t>
  </si>
  <si>
    <t>100's:100-04S</t>
  </si>
  <si>
    <t>100's:100-04M</t>
  </si>
  <si>
    <t>100's:100-04L</t>
  </si>
  <si>
    <t>100's:100-04XL</t>
  </si>
  <si>
    <t>100's:100-04XXL</t>
  </si>
  <si>
    <t>100's:100-02S</t>
  </si>
  <si>
    <t>100's:100-02M</t>
  </si>
  <si>
    <t>100's:100-02L</t>
  </si>
  <si>
    <t>100's:100-02XL</t>
  </si>
  <si>
    <t>100's:100-02XXL</t>
  </si>
  <si>
    <t>100's:100-01S</t>
  </si>
  <si>
    <t>100's:100-01M</t>
  </si>
  <si>
    <t>100's:100-01L</t>
  </si>
  <si>
    <t>100's:100-01XL</t>
  </si>
  <si>
    <t>100's:100-01XXL</t>
  </si>
  <si>
    <t>100's:100-25M</t>
  </si>
  <si>
    <t>100's:100-25L</t>
  </si>
  <si>
    <t>100's:100-25XL</t>
  </si>
  <si>
    <t>100's:100-25XXL</t>
  </si>
  <si>
    <t>100's:100-11M</t>
  </si>
  <si>
    <t>100's:100-11L</t>
  </si>
  <si>
    <t>100's:100-11XL</t>
  </si>
  <si>
    <t>100's:100-11XXL</t>
  </si>
  <si>
    <t>125's:125-06M</t>
  </si>
  <si>
    <t>125's:125-06L</t>
  </si>
  <si>
    <t>125's:125-06XL</t>
  </si>
  <si>
    <t>125's:125-06XXL</t>
  </si>
  <si>
    <t>125's:125-05M</t>
  </si>
  <si>
    <t>125's:125-05L</t>
  </si>
  <si>
    <t>125's:125-05XL</t>
  </si>
  <si>
    <t>125's:125-05XXL</t>
  </si>
  <si>
    <t>125's:125-04M</t>
  </si>
  <si>
    <t>125's:125-04L</t>
  </si>
  <si>
    <t>125's:125-04XL</t>
  </si>
  <si>
    <t>125's:125-04XXL</t>
  </si>
  <si>
    <t>125's:125-02S</t>
  </si>
  <si>
    <t>125's:125-02M</t>
  </si>
  <si>
    <t>125's:125-02L</t>
  </si>
  <si>
    <t>125's:125-02XL</t>
  </si>
  <si>
    <t>125's:125-02XXL</t>
  </si>
  <si>
    <t>125's:125-25S</t>
  </si>
  <si>
    <t>125's:125-25M</t>
  </si>
  <si>
    <t>125's:125-25L</t>
  </si>
  <si>
    <t>125's:125-25XL</t>
  </si>
  <si>
    <t>125's:125-11M</t>
  </si>
  <si>
    <t>125's:125-11L</t>
  </si>
  <si>
    <t>125's:125-11XL</t>
  </si>
  <si>
    <t>125's:125-11XXL</t>
  </si>
  <si>
    <t>125's:125-01S</t>
  </si>
  <si>
    <t>125's:125-01M</t>
  </si>
  <si>
    <t>125's:125-01L</t>
  </si>
  <si>
    <t>125's:125-01XL</t>
  </si>
  <si>
    <t>125's:125-01XXL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</si>
</sst>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 Unicode MS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2">
    <xf numFmtId="0" fontId="0" fillId="0" borderId="0" xfId="0"/>
    <xf numFmtId="2" fontId="2" fillId="0" borderId="0" xfId="1" applyNumberFormat="1" applyAlignment="1" applyProtection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0" fontId="3" fillId="0" borderId="0" xfId="0" applyNumberFormat="1" applyFont="1"/>
    <xf numFmtId="0" fontId="1" fillId="0" borderId="0" xfId="0" applyFont="1"/>
    <xf numFmtId="0" fontId="4" fillId="0" borderId="0" xfId="2"/>
    <xf numFmtId="49" fontId="5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orecasts.org/data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H11"/>
  <sheetViews>
    <sheetView topLeftCell="A2" zoomScale="130" zoomScaleNormal="130" workbookViewId="0">
      <selection activeCell="I4" sqref="I4"/>
    </sheetView>
  </sheetViews>
  <sheetFormatPr defaultRowHeight="15" x14ac:dyDescent="0.25"/>
  <cols>
    <col min="5" max="5" width="16.140625" customWidth="1"/>
  </cols>
  <sheetData>
    <row r="2" spans="5:8" x14ac:dyDescent="0.25">
      <c r="E2" t="s">
        <v>0</v>
      </c>
      <c r="F2" t="s">
        <v>21</v>
      </c>
      <c r="G2" t="s">
        <v>1</v>
      </c>
      <c r="H2" t="s">
        <v>2</v>
      </c>
    </row>
    <row r="3" spans="5:8" x14ac:dyDescent="0.25">
      <c r="E3" t="s">
        <v>3</v>
      </c>
      <c r="F3" t="s">
        <v>4</v>
      </c>
      <c r="H3" t="str">
        <f>LOWER(LEFT(F3,1)&amp;"."&amp;G3&amp;"@ivy.com")</f>
        <v>f.@ivy.com</v>
      </c>
    </row>
    <row r="4" spans="5:8" x14ac:dyDescent="0.25">
      <c r="E4" t="s">
        <v>5</v>
      </c>
      <c r="F4" t="s">
        <v>6</v>
      </c>
      <c r="H4" t="str">
        <f t="shared" ref="H4:H11" si="0">LOWER(LEFT(F4,1)&amp;"."&amp;G4&amp;"@ivy.com")</f>
        <v>m.@ivy.com</v>
      </c>
    </row>
    <row r="5" spans="5:8" x14ac:dyDescent="0.25">
      <c r="E5" t="s">
        <v>7</v>
      </c>
      <c r="F5" t="s">
        <v>8</v>
      </c>
      <c r="H5" t="str">
        <f t="shared" si="0"/>
        <v>s.@ivy.com</v>
      </c>
    </row>
    <row r="6" spans="5:8" x14ac:dyDescent="0.25">
      <c r="E6" t="s">
        <v>9</v>
      </c>
      <c r="F6" t="s">
        <v>10</v>
      </c>
      <c r="H6" t="str">
        <f t="shared" si="0"/>
        <v>s.@ivy.com</v>
      </c>
    </row>
    <row r="7" spans="5:8" x14ac:dyDescent="0.25">
      <c r="E7" t="s">
        <v>11</v>
      </c>
      <c r="F7" t="s">
        <v>12</v>
      </c>
      <c r="H7" t="str">
        <f t="shared" si="0"/>
        <v>v.@ivy.com</v>
      </c>
    </row>
    <row r="8" spans="5:8" x14ac:dyDescent="0.25">
      <c r="E8" t="s">
        <v>13</v>
      </c>
      <c r="F8" t="s">
        <v>14</v>
      </c>
      <c r="H8" t="str">
        <f t="shared" si="0"/>
        <v>w.@ivy.com</v>
      </c>
    </row>
    <row r="9" spans="5:8" x14ac:dyDescent="0.25">
      <c r="E9" t="s">
        <v>15</v>
      </c>
      <c r="F9" t="s">
        <v>16</v>
      </c>
      <c r="H9" t="str">
        <f t="shared" si="0"/>
        <v>n.@ivy.com</v>
      </c>
    </row>
    <row r="10" spans="5:8" x14ac:dyDescent="0.25">
      <c r="E10" t="s">
        <v>17</v>
      </c>
      <c r="F10" t="s">
        <v>18</v>
      </c>
      <c r="H10" t="str">
        <f t="shared" si="0"/>
        <v>w.@ivy.com</v>
      </c>
    </row>
    <row r="11" spans="5:8" x14ac:dyDescent="0.25">
      <c r="E11" t="s">
        <v>19</v>
      </c>
      <c r="F11" t="s">
        <v>20</v>
      </c>
      <c r="H11" t="str">
        <f t="shared" si="0"/>
        <v>p.@ivy.com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D11" sqref="D11"/>
    </sheetView>
  </sheetViews>
  <sheetFormatPr defaultRowHeight="15" x14ac:dyDescent="0.25"/>
  <cols>
    <col min="2" max="2" width="12.42578125" customWidth="1"/>
    <col min="3" max="3" width="11.140625" customWidth="1"/>
    <col min="5" max="5" width="16.28515625" customWidth="1"/>
  </cols>
  <sheetData>
    <row r="2" spans="2:5" x14ac:dyDescent="0.25">
      <c r="B2" t="s">
        <v>22</v>
      </c>
    </row>
    <row r="3" spans="2:5" x14ac:dyDescent="0.25">
      <c r="B3" t="s">
        <v>23</v>
      </c>
    </row>
    <row r="4" spans="2:5" x14ac:dyDescent="0.25">
      <c r="B4" t="s">
        <v>24</v>
      </c>
    </row>
    <row r="5" spans="2:5" x14ac:dyDescent="0.25">
      <c r="B5" t="s">
        <v>25</v>
      </c>
    </row>
    <row r="6" spans="2:5" x14ac:dyDescent="0.25">
      <c r="B6" t="s">
        <v>26</v>
      </c>
    </row>
    <row r="7" spans="2:5" x14ac:dyDescent="0.25">
      <c r="B7" t="s">
        <v>27</v>
      </c>
    </row>
    <row r="10" spans="2:5" x14ac:dyDescent="0.25">
      <c r="D10" t="s">
        <v>28</v>
      </c>
      <c r="E10" t="s">
        <v>29</v>
      </c>
    </row>
    <row r="11" spans="2:5" x14ac:dyDescent="0.25">
      <c r="D11" t="str">
        <f>LEFT(B3,FIND(" ",B3,1)-1)</f>
        <v>xa1</v>
      </c>
      <c r="E11" t="str">
        <f>RIGHT(B3,LEN(B3)-FIND(" ",B3))</f>
        <v>304</v>
      </c>
    </row>
    <row r="12" spans="2:5" x14ac:dyDescent="0.25">
      <c r="E12" t="str">
        <f>RIGHT(B4,LEN(B4)-FIND(" ",B4))</f>
        <v>23</v>
      </c>
    </row>
    <row r="13" spans="2:5" x14ac:dyDescent="0.25">
      <c r="E13" t="str">
        <f>RIGHT(B5,LEN(B5)-FIND(" ",B5))</f>
        <v>4123</v>
      </c>
    </row>
    <row r="14" spans="2:5" x14ac:dyDescent="0.25">
      <c r="E14" t="str">
        <f>RIGHT(B6,LEN(B6)-FIND(" ",B6))</f>
        <v>12</v>
      </c>
    </row>
    <row r="15" spans="2:5" x14ac:dyDescent="0.25">
      <c r="E15" t="str">
        <f>RIGHT(B7,LEN(B7)-FIND(" ",B7))</f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workbookViewId="0">
      <selection activeCell="F9" sqref="F9"/>
    </sheetView>
  </sheetViews>
  <sheetFormatPr defaultRowHeight="15" x14ac:dyDescent="0.25"/>
  <cols>
    <col min="1" max="2" width="9.140625" style="2"/>
  </cols>
  <sheetData>
    <row r="1" spans="1:6" x14ac:dyDescent="0.25">
      <c r="A1" s="1" t="s">
        <v>30</v>
      </c>
      <c r="B1" s="1"/>
    </row>
    <row r="3" spans="1:6" ht="15.75" x14ac:dyDescent="0.3">
      <c r="A3" s="3" t="s">
        <v>31</v>
      </c>
      <c r="B3" s="3"/>
    </row>
    <row r="4" spans="1:6" ht="15.75" x14ac:dyDescent="0.3">
      <c r="A4" s="3" t="s">
        <v>32</v>
      </c>
      <c r="B4" s="3"/>
    </row>
    <row r="5" spans="1:6" ht="15.75" x14ac:dyDescent="0.3">
      <c r="A5" s="3" t="s">
        <v>33</v>
      </c>
      <c r="B5" s="3"/>
    </row>
    <row r="6" spans="1:6" ht="15.75" x14ac:dyDescent="0.3">
      <c r="A6" s="3" t="s">
        <v>34</v>
      </c>
      <c r="B6" s="3"/>
    </row>
    <row r="8" spans="1:6" ht="15.75" x14ac:dyDescent="0.3">
      <c r="A8" s="3" t="s">
        <v>35</v>
      </c>
      <c r="B8" s="3"/>
    </row>
    <row r="9" spans="1:6" x14ac:dyDescent="0.25">
      <c r="A9" s="4"/>
      <c r="B9" s="4"/>
      <c r="D9" s="6" t="s">
        <v>37</v>
      </c>
      <c r="E9" s="6" t="s">
        <v>38</v>
      </c>
      <c r="F9" s="6" t="s">
        <v>39</v>
      </c>
    </row>
    <row r="10" spans="1:6" ht="15.75" x14ac:dyDescent="0.3">
      <c r="A10" s="5" t="s">
        <v>36</v>
      </c>
      <c r="B10" s="5"/>
      <c r="D10" s="2" t="str">
        <f>TEXT(LEFT(A10, FIND(".", A10) - 1), "0")</f>
        <v>1950</v>
      </c>
      <c r="E10" t="str">
        <f>TEXT(MID(A10, FIND(".", A10) + 1, 1), "0")</f>
        <v>1</v>
      </c>
      <c r="F10" t="str">
        <f>TEXT(RIGHT(A10, LEN(A10) - FIND(" ", A10)), "0.0")</f>
        <v>1618.4</v>
      </c>
    </row>
    <row r="11" spans="1:6" ht="15.75" x14ac:dyDescent="0.3">
      <c r="A11" s="5" t="s">
        <v>40</v>
      </c>
      <c r="B11" s="5"/>
      <c r="D11" t="str">
        <f>TEXT(LEFT(A11, FIND(".", A11) - 1), "0")</f>
        <v>1950</v>
      </c>
      <c r="E11" t="str">
        <f t="shared" ref="E11:E74" si="0">TEXT(MID(A11, FIND(".", A11) + 1, 1), "0")</f>
        <v>2</v>
      </c>
      <c r="F11" t="str">
        <f t="shared" ref="F11:F74" si="1">TEXT(RIGHT(A11, LEN(A11) - FIND(" ", A11)), "0.0")</f>
        <v>1667.2</v>
      </c>
    </row>
    <row r="12" spans="1:6" ht="15.75" x14ac:dyDescent="0.3">
      <c r="A12" s="5" t="s">
        <v>41</v>
      </c>
      <c r="B12" s="5"/>
      <c r="D12" t="str">
        <f t="shared" ref="D12:D75" si="2">TEXT(LEFT(A12, FIND(".", A12) - 1), "0")</f>
        <v>1950</v>
      </c>
      <c r="E12" t="str">
        <f t="shared" si="0"/>
        <v>3</v>
      </c>
      <c r="F12" t="str">
        <f t="shared" si="1"/>
        <v>1733.1</v>
      </c>
    </row>
    <row r="13" spans="1:6" ht="15.75" x14ac:dyDescent="0.3">
      <c r="A13" s="5" t="s">
        <v>42</v>
      </c>
      <c r="B13" s="5"/>
      <c r="D13" t="str">
        <f t="shared" si="2"/>
        <v>1950</v>
      </c>
      <c r="E13" t="str">
        <f t="shared" si="0"/>
        <v>4</v>
      </c>
      <c r="F13" t="str">
        <f t="shared" si="1"/>
        <v>1763.9</v>
      </c>
    </row>
    <row r="14" spans="1:6" ht="15.75" x14ac:dyDescent="0.3">
      <c r="A14" s="5" t="s">
        <v>43</v>
      </c>
      <c r="B14" s="5"/>
      <c r="D14" t="str">
        <f t="shared" si="2"/>
        <v>1951</v>
      </c>
      <c r="E14" t="str">
        <f t="shared" si="0"/>
        <v>1</v>
      </c>
      <c r="F14" t="str">
        <f t="shared" si="1"/>
        <v>1782.9</v>
      </c>
    </row>
    <row r="15" spans="1:6" ht="15.75" x14ac:dyDescent="0.3">
      <c r="A15" s="5" t="s">
        <v>44</v>
      </c>
      <c r="B15" s="5"/>
      <c r="D15" t="str">
        <f t="shared" si="2"/>
        <v>1951</v>
      </c>
      <c r="E15" t="str">
        <f t="shared" si="0"/>
        <v>2</v>
      </c>
      <c r="F15" t="str">
        <f t="shared" si="1"/>
        <v>1814.9</v>
      </c>
    </row>
    <row r="16" spans="1:6" ht="15.75" x14ac:dyDescent="0.3">
      <c r="A16" s="5" t="s">
        <v>45</v>
      </c>
      <c r="B16" s="5"/>
      <c r="D16" t="str">
        <f t="shared" si="2"/>
        <v>1951</v>
      </c>
      <c r="E16" t="str">
        <f t="shared" si="0"/>
        <v>3</v>
      </c>
      <c r="F16" t="str">
        <f t="shared" si="1"/>
        <v>1851.6</v>
      </c>
    </row>
    <row r="17" spans="1:6" ht="15.75" x14ac:dyDescent="0.3">
      <c r="A17" s="5" t="s">
        <v>46</v>
      </c>
      <c r="B17" s="5"/>
      <c r="D17" t="str">
        <f t="shared" si="2"/>
        <v>1951</v>
      </c>
      <c r="E17" t="str">
        <f t="shared" si="0"/>
        <v>4</v>
      </c>
      <c r="F17" t="str">
        <f t="shared" si="1"/>
        <v>1855.8</v>
      </c>
    </row>
    <row r="18" spans="1:6" ht="15.75" x14ac:dyDescent="0.3">
      <c r="A18" s="5" t="s">
        <v>47</v>
      </c>
      <c r="B18" s="5"/>
      <c r="D18" t="str">
        <f t="shared" si="2"/>
        <v>1952</v>
      </c>
      <c r="E18" t="str">
        <f t="shared" si="0"/>
        <v>1</v>
      </c>
      <c r="F18" t="str">
        <f t="shared" si="1"/>
        <v>1876.7</v>
      </c>
    </row>
    <row r="19" spans="1:6" ht="15.75" x14ac:dyDescent="0.3">
      <c r="A19" s="5" t="s">
        <v>48</v>
      </c>
      <c r="B19" s="5"/>
      <c r="D19" t="str">
        <f t="shared" si="2"/>
        <v>1952</v>
      </c>
      <c r="E19" t="str">
        <f t="shared" si="0"/>
        <v>2</v>
      </c>
      <c r="F19" t="str">
        <f t="shared" si="1"/>
        <v>1878.2</v>
      </c>
    </row>
    <row r="20" spans="1:6" ht="15.75" x14ac:dyDescent="0.3">
      <c r="A20" s="5" t="s">
        <v>49</v>
      </c>
      <c r="B20" s="5"/>
      <c r="D20" t="str">
        <f>TEXT(LEFT(A20, FIND(".", A20) - 1), "0")</f>
        <v>1952</v>
      </c>
      <c r="E20" t="str">
        <f t="shared" si="0"/>
        <v>3</v>
      </c>
      <c r="F20" t="str">
        <f t="shared" si="1"/>
        <v>1889.9</v>
      </c>
    </row>
    <row r="21" spans="1:6" ht="15.75" x14ac:dyDescent="0.3">
      <c r="A21" s="5" t="s">
        <v>50</v>
      </c>
      <c r="B21" s="5"/>
      <c r="D21" t="str">
        <f t="shared" si="2"/>
        <v>1952</v>
      </c>
      <c r="E21" t="str">
        <f t="shared" si="0"/>
        <v>4</v>
      </c>
      <c r="F21" t="str">
        <f t="shared" si="1"/>
        <v>1951.9</v>
      </c>
    </row>
    <row r="22" spans="1:6" ht="15.75" x14ac:dyDescent="0.3">
      <c r="A22" s="5" t="s">
        <v>51</v>
      </c>
      <c r="B22" s="5"/>
      <c r="D22" t="str">
        <f t="shared" si="2"/>
        <v>1953</v>
      </c>
      <c r="E22" t="str">
        <f t="shared" si="0"/>
        <v>1</v>
      </c>
      <c r="F22" t="str">
        <f t="shared" si="1"/>
        <v>1987.4</v>
      </c>
    </row>
    <row r="23" spans="1:6" ht="15.75" x14ac:dyDescent="0.3">
      <c r="A23" s="5" t="s">
        <v>52</v>
      </c>
      <c r="B23" s="5"/>
      <c r="D23" t="str">
        <f t="shared" si="2"/>
        <v>1953</v>
      </c>
      <c r="E23" t="str">
        <f t="shared" si="0"/>
        <v>2</v>
      </c>
      <c r="F23" t="str">
        <f t="shared" si="1"/>
        <v>2004.3</v>
      </c>
    </row>
    <row r="24" spans="1:6" ht="15.75" x14ac:dyDescent="0.3">
      <c r="A24" s="5" t="s">
        <v>53</v>
      </c>
      <c r="B24" s="5"/>
      <c r="D24" t="str">
        <f t="shared" si="2"/>
        <v>1953</v>
      </c>
      <c r="E24" t="str">
        <f t="shared" si="0"/>
        <v>3</v>
      </c>
      <c r="F24" t="str">
        <f t="shared" si="1"/>
        <v>1990.2</v>
      </c>
    </row>
    <row r="25" spans="1:6" ht="15.75" x14ac:dyDescent="0.3">
      <c r="A25" s="5" t="s">
        <v>54</v>
      </c>
      <c r="B25" s="5"/>
      <c r="D25" t="str">
        <f t="shared" si="2"/>
        <v>1953</v>
      </c>
      <c r="E25" t="str">
        <f t="shared" si="0"/>
        <v>4</v>
      </c>
      <c r="F25" t="str">
        <f t="shared" si="1"/>
        <v>1958.6</v>
      </c>
    </row>
    <row r="26" spans="1:6" ht="15.75" x14ac:dyDescent="0.3">
      <c r="A26" s="5" t="s">
        <v>55</v>
      </c>
      <c r="B26" s="5"/>
      <c r="D26" t="str">
        <f t="shared" si="2"/>
        <v>1954</v>
      </c>
      <c r="E26" t="str">
        <f t="shared" si="0"/>
        <v>1</v>
      </c>
      <c r="F26" t="str">
        <f t="shared" si="1"/>
        <v>1949.7</v>
      </c>
    </row>
    <row r="27" spans="1:6" ht="15.75" x14ac:dyDescent="0.3">
      <c r="A27" s="5" t="s">
        <v>56</v>
      </c>
      <c r="B27" s="5"/>
      <c r="D27" t="str">
        <f t="shared" si="2"/>
        <v>1954</v>
      </c>
      <c r="E27" t="str">
        <f t="shared" si="0"/>
        <v>2</v>
      </c>
      <c r="F27" t="str">
        <f t="shared" si="1"/>
        <v>1952.6</v>
      </c>
    </row>
    <row r="28" spans="1:6" ht="15.75" x14ac:dyDescent="0.3">
      <c r="A28" s="5" t="s">
        <v>57</v>
      </c>
      <c r="B28" s="5"/>
      <c r="D28" t="str">
        <f t="shared" si="2"/>
        <v>1954</v>
      </c>
      <c r="E28" t="str">
        <f t="shared" si="0"/>
        <v>3</v>
      </c>
      <c r="F28" t="str">
        <f t="shared" si="1"/>
        <v>1973.7</v>
      </c>
    </row>
    <row r="29" spans="1:6" ht="15.75" x14ac:dyDescent="0.3">
      <c r="A29" s="5" t="s">
        <v>58</v>
      </c>
      <c r="B29" s="5"/>
      <c r="D29" t="str">
        <f t="shared" si="2"/>
        <v>1954</v>
      </c>
      <c r="E29" t="str">
        <f t="shared" si="0"/>
        <v>4</v>
      </c>
      <c r="F29" t="str">
        <f t="shared" si="1"/>
        <v>2014.1</v>
      </c>
    </row>
    <row r="30" spans="1:6" ht="15.75" x14ac:dyDescent="0.3">
      <c r="A30" s="5" t="s">
        <v>59</v>
      </c>
      <c r="B30" s="5"/>
      <c r="D30" t="str">
        <f t="shared" si="2"/>
        <v>1955</v>
      </c>
      <c r="E30" t="str">
        <f t="shared" si="0"/>
        <v>1</v>
      </c>
      <c r="F30" t="str">
        <f t="shared" si="1"/>
        <v>2071.6</v>
      </c>
    </row>
    <row r="31" spans="1:6" ht="15.75" x14ac:dyDescent="0.3">
      <c r="A31" s="5" t="s">
        <v>60</v>
      </c>
      <c r="B31" s="5"/>
      <c r="D31" t="str">
        <f t="shared" si="2"/>
        <v>1955</v>
      </c>
      <c r="E31" t="str">
        <f t="shared" si="0"/>
        <v>2</v>
      </c>
      <c r="F31" t="str">
        <f t="shared" si="1"/>
        <v>2104.3</v>
      </c>
    </row>
    <row r="32" spans="1:6" ht="15.75" x14ac:dyDescent="0.3">
      <c r="A32" s="5" t="s">
        <v>61</v>
      </c>
      <c r="B32" s="5"/>
      <c r="D32" t="str">
        <f t="shared" si="2"/>
        <v>1955</v>
      </c>
      <c r="E32" t="str">
        <f t="shared" si="0"/>
        <v>3</v>
      </c>
      <c r="F32" t="str">
        <f t="shared" si="1"/>
        <v>2132.4</v>
      </c>
    </row>
    <row r="33" spans="1:6" ht="15.75" x14ac:dyDescent="0.3">
      <c r="A33" s="5" t="s">
        <v>62</v>
      </c>
      <c r="B33" s="5"/>
      <c r="D33" t="str">
        <f t="shared" si="2"/>
        <v>1955</v>
      </c>
      <c r="E33" t="str">
        <f t="shared" si="0"/>
        <v>4</v>
      </c>
      <c r="F33" t="str">
        <f t="shared" si="1"/>
        <v>2143.9</v>
      </c>
    </row>
    <row r="34" spans="1:6" ht="15.75" x14ac:dyDescent="0.3">
      <c r="A34" s="5" t="s">
        <v>63</v>
      </c>
      <c r="B34" s="5"/>
      <c r="D34" t="str">
        <f t="shared" si="2"/>
        <v>1956</v>
      </c>
      <c r="E34" t="str">
        <f t="shared" si="0"/>
        <v>1</v>
      </c>
      <c r="F34" t="str">
        <f t="shared" si="1"/>
        <v>2136.4</v>
      </c>
    </row>
    <row r="35" spans="1:6" ht="15.75" x14ac:dyDescent="0.3">
      <c r="A35" s="5" t="s">
        <v>64</v>
      </c>
      <c r="B35" s="5"/>
      <c r="D35" t="str">
        <f t="shared" si="2"/>
        <v>1956</v>
      </c>
      <c r="E35" t="str">
        <f t="shared" si="0"/>
        <v>2</v>
      </c>
      <c r="F35" t="str">
        <f t="shared" si="1"/>
        <v>2152.8</v>
      </c>
    </row>
    <row r="36" spans="1:6" ht="15.75" x14ac:dyDescent="0.3">
      <c r="A36" s="5" t="s">
        <v>65</v>
      </c>
      <c r="B36" s="5"/>
      <c r="D36" t="str">
        <f t="shared" si="2"/>
        <v>1956</v>
      </c>
      <c r="E36" t="str">
        <f t="shared" si="0"/>
        <v>3</v>
      </c>
      <c r="F36" t="str">
        <f t="shared" si="1"/>
        <v>2150.8</v>
      </c>
    </row>
    <row r="37" spans="1:6" ht="15.75" x14ac:dyDescent="0.3">
      <c r="A37" s="5" t="s">
        <v>66</v>
      </c>
      <c r="B37" s="5"/>
      <c r="D37" t="str">
        <f t="shared" si="2"/>
        <v>1956</v>
      </c>
      <c r="E37" t="str">
        <f t="shared" si="0"/>
        <v>4</v>
      </c>
      <c r="F37" t="str">
        <f t="shared" si="1"/>
        <v>2184.1</v>
      </c>
    </row>
    <row r="38" spans="1:6" ht="15.75" x14ac:dyDescent="0.3">
      <c r="A38" s="5" t="s">
        <v>67</v>
      </c>
      <c r="B38" s="5"/>
      <c r="D38" t="str">
        <f t="shared" si="2"/>
        <v>1957</v>
      </c>
      <c r="E38" t="str">
        <f t="shared" si="0"/>
        <v>1</v>
      </c>
      <c r="F38" t="str">
        <f t="shared" si="1"/>
        <v>2198.8</v>
      </c>
    </row>
    <row r="39" spans="1:6" ht="15.75" x14ac:dyDescent="0.3">
      <c r="A39" s="5" t="s">
        <v>68</v>
      </c>
      <c r="B39" s="5"/>
      <c r="D39" t="str">
        <f t="shared" si="2"/>
        <v>1957</v>
      </c>
      <c r="E39" t="str">
        <f t="shared" si="0"/>
        <v>2</v>
      </c>
      <c r="F39" t="str">
        <f t="shared" si="1"/>
        <v>2195.0</v>
      </c>
    </row>
    <row r="40" spans="1:6" ht="15.75" x14ac:dyDescent="0.3">
      <c r="A40" s="5" t="s">
        <v>69</v>
      </c>
      <c r="B40" s="5"/>
      <c r="D40" t="str">
        <f t="shared" si="2"/>
        <v>1957</v>
      </c>
      <c r="E40" t="str">
        <f t="shared" si="0"/>
        <v>3</v>
      </c>
      <c r="F40" t="str">
        <f t="shared" si="1"/>
        <v>2215.5</v>
      </c>
    </row>
    <row r="41" spans="1:6" ht="15.75" x14ac:dyDescent="0.3">
      <c r="A41" s="5" t="s">
        <v>70</v>
      </c>
      <c r="B41" s="5"/>
      <c r="D41" t="str">
        <f t="shared" si="2"/>
        <v>1957</v>
      </c>
      <c r="E41" t="str">
        <f t="shared" si="0"/>
        <v>4</v>
      </c>
      <c r="F41" t="str">
        <f t="shared" si="1"/>
        <v>2189.2</v>
      </c>
    </row>
    <row r="42" spans="1:6" ht="15.75" x14ac:dyDescent="0.3">
      <c r="A42" s="5" t="s">
        <v>71</v>
      </c>
      <c r="B42" s="5"/>
      <c r="D42" t="str">
        <f t="shared" si="2"/>
        <v>1958</v>
      </c>
      <c r="E42" t="str">
        <f t="shared" si="0"/>
        <v>1</v>
      </c>
      <c r="F42" t="str">
        <f t="shared" si="1"/>
        <v>2131.0</v>
      </c>
    </row>
    <row r="43" spans="1:6" ht="15.75" x14ac:dyDescent="0.3">
      <c r="A43" s="5" t="s">
        <v>72</v>
      </c>
      <c r="B43" s="5"/>
      <c r="D43" t="str">
        <f t="shared" si="2"/>
        <v>1958</v>
      </c>
      <c r="E43" t="str">
        <f t="shared" si="0"/>
        <v>2</v>
      </c>
      <c r="F43" t="str">
        <f t="shared" si="1"/>
        <v>2143.6</v>
      </c>
    </row>
    <row r="44" spans="1:6" ht="15.75" x14ac:dyDescent="0.3">
      <c r="A44" s="5" t="s">
        <v>73</v>
      </c>
      <c r="B44" s="5"/>
      <c r="D44" t="str">
        <f t="shared" si="2"/>
        <v>1958</v>
      </c>
      <c r="E44" t="str">
        <f t="shared" si="0"/>
        <v>3</v>
      </c>
      <c r="F44" t="str">
        <f t="shared" si="1"/>
        <v>2190.9</v>
      </c>
    </row>
    <row r="45" spans="1:6" ht="15.75" x14ac:dyDescent="0.3">
      <c r="A45" s="5" t="s">
        <v>74</v>
      </c>
      <c r="B45" s="5"/>
      <c r="D45" t="str">
        <f t="shared" si="2"/>
        <v>1958</v>
      </c>
      <c r="E45" t="str">
        <f t="shared" si="0"/>
        <v>4</v>
      </c>
      <c r="F45" t="str">
        <f t="shared" si="1"/>
        <v>2239.7</v>
      </c>
    </row>
    <row r="46" spans="1:6" ht="15.75" x14ac:dyDescent="0.3">
      <c r="A46" s="5" t="s">
        <v>75</v>
      </c>
      <c r="B46" s="5"/>
      <c r="D46" t="str">
        <f t="shared" si="2"/>
        <v>1959</v>
      </c>
      <c r="E46" t="str">
        <f t="shared" si="0"/>
        <v>1</v>
      </c>
      <c r="F46" t="str">
        <f t="shared" si="1"/>
        <v>2286.2</v>
      </c>
    </row>
    <row r="47" spans="1:6" ht="15.75" x14ac:dyDescent="0.3">
      <c r="A47" s="5" t="s">
        <v>76</v>
      </c>
      <c r="B47" s="5"/>
      <c r="D47" t="str">
        <f t="shared" si="2"/>
        <v>1959</v>
      </c>
      <c r="E47" t="str">
        <f t="shared" si="0"/>
        <v>2</v>
      </c>
      <c r="F47" t="str">
        <f t="shared" si="1"/>
        <v>2345.5</v>
      </c>
    </row>
    <row r="48" spans="1:6" ht="15.75" x14ac:dyDescent="0.3">
      <c r="A48" s="5" t="s">
        <v>77</v>
      </c>
      <c r="B48" s="5"/>
      <c r="D48" t="str">
        <f t="shared" si="2"/>
        <v>1959</v>
      </c>
      <c r="E48" t="str">
        <f t="shared" si="0"/>
        <v>3</v>
      </c>
      <c r="F48" t="str">
        <f t="shared" si="1"/>
        <v>2345.5</v>
      </c>
    </row>
    <row r="49" spans="1:6" ht="15.75" x14ac:dyDescent="0.3">
      <c r="A49" s="5" t="s">
        <v>78</v>
      </c>
      <c r="B49" s="5"/>
      <c r="D49" t="str">
        <f t="shared" si="2"/>
        <v>1959</v>
      </c>
      <c r="E49" t="str">
        <f t="shared" si="0"/>
        <v>4</v>
      </c>
      <c r="F49" t="str">
        <f t="shared" si="1"/>
        <v>2354.1</v>
      </c>
    </row>
    <row r="50" spans="1:6" ht="15.75" x14ac:dyDescent="0.3">
      <c r="A50" s="5" t="s">
        <v>79</v>
      </c>
      <c r="B50" s="5"/>
      <c r="D50" t="str">
        <f t="shared" si="2"/>
        <v>1960</v>
      </c>
      <c r="E50" t="str">
        <f t="shared" si="0"/>
        <v>1</v>
      </c>
      <c r="F50" t="str">
        <f t="shared" si="1"/>
        <v>2405.4</v>
      </c>
    </row>
    <row r="51" spans="1:6" ht="15.75" x14ac:dyDescent="0.3">
      <c r="A51" s="5" t="s">
        <v>80</v>
      </c>
      <c r="B51" s="5"/>
      <c r="D51" t="str">
        <f t="shared" si="2"/>
        <v>1960</v>
      </c>
      <c r="E51" t="str">
        <f t="shared" si="0"/>
        <v>2</v>
      </c>
      <c r="F51" t="str">
        <f t="shared" si="1"/>
        <v>2393.9</v>
      </c>
    </row>
    <row r="52" spans="1:6" ht="15.75" x14ac:dyDescent="0.3">
      <c r="A52" s="5" t="s">
        <v>81</v>
      </c>
      <c r="B52" s="5"/>
      <c r="D52" t="str">
        <f t="shared" si="2"/>
        <v>1960</v>
      </c>
      <c r="E52" t="str">
        <f t="shared" si="0"/>
        <v>3</v>
      </c>
      <c r="F52" t="str">
        <f t="shared" si="1"/>
        <v>2398.9</v>
      </c>
    </row>
    <row r="53" spans="1:6" ht="15.75" x14ac:dyDescent="0.3">
      <c r="A53" s="5" t="s">
        <v>82</v>
      </c>
      <c r="B53" s="5"/>
      <c r="D53" t="str">
        <f t="shared" si="2"/>
        <v>1960</v>
      </c>
      <c r="E53" t="str">
        <f t="shared" si="0"/>
        <v>4</v>
      </c>
      <c r="F53" t="str">
        <f t="shared" si="1"/>
        <v>2369.3</v>
      </c>
    </row>
    <row r="54" spans="1:6" ht="15.75" x14ac:dyDescent="0.3">
      <c r="A54" s="5" t="s">
        <v>83</v>
      </c>
      <c r="B54" s="5"/>
      <c r="D54" t="str">
        <f t="shared" si="2"/>
        <v>1961</v>
      </c>
      <c r="E54" t="str">
        <f t="shared" si="0"/>
        <v>1</v>
      </c>
      <c r="F54" t="str">
        <f t="shared" si="1"/>
        <v>2383.7</v>
      </c>
    </row>
    <row r="55" spans="1:6" ht="15.75" x14ac:dyDescent="0.3">
      <c r="A55" s="5" t="s">
        <v>84</v>
      </c>
      <c r="B55" s="5"/>
      <c r="D55" t="str">
        <f t="shared" si="2"/>
        <v>1961</v>
      </c>
      <c r="E55" t="str">
        <f t="shared" si="0"/>
        <v>2</v>
      </c>
      <c r="F55" t="str">
        <f t="shared" si="1"/>
        <v>2427.1</v>
      </c>
    </row>
    <row r="56" spans="1:6" ht="15.75" x14ac:dyDescent="0.3">
      <c r="A56" s="5" t="s">
        <v>85</v>
      </c>
      <c r="B56" s="5"/>
      <c r="D56" t="str">
        <f t="shared" si="2"/>
        <v>1961</v>
      </c>
      <c r="E56" t="str">
        <f t="shared" si="0"/>
        <v>3</v>
      </c>
      <c r="F56" t="str">
        <f t="shared" si="1"/>
        <v>2467.2</v>
      </c>
    </row>
    <row r="57" spans="1:6" ht="15.75" x14ac:dyDescent="0.3">
      <c r="A57" s="5" t="s">
        <v>86</v>
      </c>
      <c r="B57" s="5"/>
      <c r="D57" t="str">
        <f t="shared" si="2"/>
        <v>1961</v>
      </c>
      <c r="E57" t="str">
        <f t="shared" si="0"/>
        <v>4</v>
      </c>
      <c r="F57" t="str">
        <f t="shared" si="1"/>
        <v>2517.5</v>
      </c>
    </row>
    <row r="58" spans="1:6" ht="15.75" x14ac:dyDescent="0.3">
      <c r="A58" s="5" t="s">
        <v>87</v>
      </c>
      <c r="B58" s="5"/>
      <c r="D58" t="str">
        <f t="shared" si="2"/>
        <v>1962</v>
      </c>
      <c r="E58" t="str">
        <f t="shared" si="0"/>
        <v>1</v>
      </c>
      <c r="F58" t="str">
        <f t="shared" si="1"/>
        <v>2561.0</v>
      </c>
    </row>
    <row r="59" spans="1:6" ht="15.75" x14ac:dyDescent="0.3">
      <c r="A59" s="5" t="s">
        <v>88</v>
      </c>
      <c r="B59" s="5"/>
      <c r="D59" t="str">
        <f t="shared" si="2"/>
        <v>1962</v>
      </c>
      <c r="E59" t="str">
        <f t="shared" si="0"/>
        <v>2</v>
      </c>
      <c r="F59" t="str">
        <f t="shared" si="1"/>
        <v>2590.3</v>
      </c>
    </row>
    <row r="60" spans="1:6" ht="15.75" x14ac:dyDescent="0.3">
      <c r="A60" s="5" t="s">
        <v>89</v>
      </c>
      <c r="B60" s="5"/>
      <c r="D60" t="str">
        <f t="shared" si="2"/>
        <v>1962</v>
      </c>
      <c r="E60" t="str">
        <f t="shared" si="0"/>
        <v>3</v>
      </c>
      <c r="F60" t="str">
        <f t="shared" si="1"/>
        <v>2615.7</v>
      </c>
    </row>
    <row r="61" spans="1:6" ht="15.75" x14ac:dyDescent="0.3">
      <c r="A61" s="5" t="s">
        <v>90</v>
      </c>
      <c r="B61" s="5"/>
      <c r="D61" t="str">
        <f t="shared" si="2"/>
        <v>1962</v>
      </c>
      <c r="E61" t="str">
        <f t="shared" si="0"/>
        <v>4</v>
      </c>
      <c r="F61" t="str">
        <f t="shared" si="1"/>
        <v>2625.1</v>
      </c>
    </row>
    <row r="62" spans="1:6" ht="15.75" x14ac:dyDescent="0.3">
      <c r="A62" s="5" t="s">
        <v>91</v>
      </c>
      <c r="B62" s="5"/>
      <c r="D62" t="str">
        <f t="shared" si="2"/>
        <v>1963</v>
      </c>
      <c r="E62" t="str">
        <f t="shared" si="0"/>
        <v>1</v>
      </c>
      <c r="F62" t="str">
        <f t="shared" si="1"/>
        <v>2654.8</v>
      </c>
    </row>
    <row r="63" spans="1:6" ht="15.75" x14ac:dyDescent="0.3">
      <c r="A63" s="5" t="s">
        <v>92</v>
      </c>
      <c r="B63" s="5"/>
      <c r="D63" t="str">
        <f t="shared" si="2"/>
        <v>1963</v>
      </c>
      <c r="E63" t="str">
        <f t="shared" si="0"/>
        <v>2</v>
      </c>
      <c r="F63" t="str">
        <f t="shared" si="1"/>
        <v>2688.2</v>
      </c>
    </row>
    <row r="64" spans="1:6" ht="15.75" x14ac:dyDescent="0.3">
      <c r="A64" s="5" t="s">
        <v>93</v>
      </c>
      <c r="B64" s="5"/>
      <c r="D64" t="str">
        <f t="shared" si="2"/>
        <v>1963</v>
      </c>
      <c r="E64" t="str">
        <f t="shared" si="0"/>
        <v>3</v>
      </c>
      <c r="F64" t="str">
        <f t="shared" si="1"/>
        <v>2739.8</v>
      </c>
    </row>
    <row r="65" spans="1:6" ht="15.75" x14ac:dyDescent="0.3">
      <c r="A65" s="5" t="s">
        <v>94</v>
      </c>
      <c r="B65" s="5"/>
      <c r="D65" t="str">
        <f t="shared" si="2"/>
        <v>1963</v>
      </c>
      <c r="E65" t="str">
        <f t="shared" si="0"/>
        <v>4</v>
      </c>
      <c r="F65" t="str">
        <f t="shared" si="1"/>
        <v>2760.3</v>
      </c>
    </row>
    <row r="66" spans="1:6" ht="15.75" x14ac:dyDescent="0.3">
      <c r="A66" s="5" t="s">
        <v>95</v>
      </c>
      <c r="B66" s="5"/>
      <c r="D66" t="str">
        <f t="shared" si="2"/>
        <v>1964</v>
      </c>
      <c r="E66" t="str">
        <f t="shared" si="0"/>
        <v>1</v>
      </c>
      <c r="F66" t="str">
        <f t="shared" si="1"/>
        <v>2823.2</v>
      </c>
    </row>
    <row r="67" spans="1:6" ht="15.75" x14ac:dyDescent="0.3">
      <c r="A67" s="5" t="s">
        <v>96</v>
      </c>
      <c r="B67" s="5"/>
      <c r="D67" t="str">
        <f t="shared" si="2"/>
        <v>1964</v>
      </c>
      <c r="E67" t="str">
        <f t="shared" si="0"/>
        <v>2</v>
      </c>
      <c r="F67" t="str">
        <f t="shared" si="1"/>
        <v>2855.7</v>
      </c>
    </row>
    <row r="68" spans="1:6" ht="15.75" x14ac:dyDescent="0.3">
      <c r="A68" s="5" t="s">
        <v>97</v>
      </c>
      <c r="B68" s="5"/>
      <c r="D68" t="str">
        <f t="shared" si="2"/>
        <v>1964</v>
      </c>
      <c r="E68" t="str">
        <f t="shared" si="0"/>
        <v>3</v>
      </c>
      <c r="F68" t="str">
        <f t="shared" si="1"/>
        <v>2894.7</v>
      </c>
    </row>
    <row r="69" spans="1:6" ht="15.75" x14ac:dyDescent="0.3">
      <c r="A69" s="5" t="s">
        <v>98</v>
      </c>
      <c r="B69" s="5"/>
      <c r="D69" t="str">
        <f t="shared" si="2"/>
        <v>1964</v>
      </c>
      <c r="E69" t="str">
        <f t="shared" si="0"/>
        <v>4</v>
      </c>
      <c r="F69" t="str">
        <f t="shared" si="1"/>
        <v>2900.5</v>
      </c>
    </row>
    <row r="70" spans="1:6" ht="15.75" x14ac:dyDescent="0.3">
      <c r="A70" s="5" t="s">
        <v>99</v>
      </c>
      <c r="B70" s="5"/>
      <c r="D70" t="str">
        <f t="shared" si="2"/>
        <v>1965</v>
      </c>
      <c r="E70" t="str">
        <f t="shared" si="0"/>
        <v>1</v>
      </c>
      <c r="F70" t="str">
        <f t="shared" si="1"/>
        <v>2974.0</v>
      </c>
    </row>
    <row r="71" spans="1:6" ht="15.75" x14ac:dyDescent="0.3">
      <c r="A71" s="5" t="s">
        <v>100</v>
      </c>
      <c r="B71" s="5"/>
      <c r="D71" t="str">
        <f t="shared" si="2"/>
        <v>1965</v>
      </c>
      <c r="E71" t="str">
        <f t="shared" si="0"/>
        <v>2</v>
      </c>
      <c r="F71" t="str">
        <f t="shared" si="1"/>
        <v>3014.6</v>
      </c>
    </row>
    <row r="72" spans="1:6" ht="15.75" x14ac:dyDescent="0.3">
      <c r="A72" s="5" t="s">
        <v>101</v>
      </c>
      <c r="B72" s="5"/>
      <c r="D72" t="str">
        <f t="shared" si="2"/>
        <v>1965</v>
      </c>
      <c r="E72" t="str">
        <f t="shared" si="0"/>
        <v>3</v>
      </c>
      <c r="F72" t="str">
        <f t="shared" si="1"/>
        <v>3073.6</v>
      </c>
    </row>
    <row r="73" spans="1:6" ht="15.75" x14ac:dyDescent="0.3">
      <c r="A73" s="5" t="s">
        <v>102</v>
      </c>
      <c r="B73" s="5"/>
      <c r="D73" t="str">
        <f t="shared" si="2"/>
        <v>1965</v>
      </c>
      <c r="E73" t="str">
        <f t="shared" si="0"/>
        <v>4</v>
      </c>
      <c r="F73" t="str">
        <f t="shared" si="1"/>
        <v>3144.5</v>
      </c>
    </row>
    <row r="74" spans="1:6" ht="15.75" x14ac:dyDescent="0.3">
      <c r="A74" s="5" t="s">
        <v>103</v>
      </c>
      <c r="B74" s="5"/>
      <c r="D74" t="str">
        <f t="shared" si="2"/>
        <v>1966</v>
      </c>
      <c r="E74" t="str">
        <f t="shared" si="0"/>
        <v>1</v>
      </c>
      <c r="F74" t="str">
        <f t="shared" si="1"/>
        <v>3222.6</v>
      </c>
    </row>
    <row r="75" spans="1:6" ht="15.75" x14ac:dyDescent="0.3">
      <c r="A75" s="5" t="s">
        <v>104</v>
      </c>
      <c r="B75" s="5"/>
      <c r="D75" t="str">
        <f t="shared" si="2"/>
        <v>1966</v>
      </c>
      <c r="E75" t="str">
        <f t="shared" ref="E75:E138" si="3">TEXT(MID(A75, FIND(".", A75) + 1, 1), "0")</f>
        <v>2</v>
      </c>
      <c r="F75" t="str">
        <f t="shared" ref="F75:F138" si="4">TEXT(RIGHT(A75, LEN(A75) - FIND(" ", A75)), "0.0")</f>
        <v>3234.8</v>
      </c>
    </row>
    <row r="76" spans="1:6" ht="15.75" x14ac:dyDescent="0.3">
      <c r="A76" s="5" t="s">
        <v>105</v>
      </c>
      <c r="B76" s="5"/>
      <c r="D76" t="str">
        <f t="shared" ref="D76:D139" si="5">TEXT(LEFT(A76, FIND(".", A76) - 1), "0")</f>
        <v>1966</v>
      </c>
      <c r="E76" t="str">
        <f t="shared" si="3"/>
        <v>3</v>
      </c>
      <c r="F76" t="str">
        <f t="shared" si="4"/>
        <v>3254.7</v>
      </c>
    </row>
    <row r="77" spans="1:6" ht="15.75" x14ac:dyDescent="0.3">
      <c r="A77" s="5" t="s">
        <v>106</v>
      </c>
      <c r="B77" s="5"/>
      <c r="D77" t="str">
        <f t="shared" si="5"/>
        <v>1966</v>
      </c>
      <c r="E77" t="str">
        <f t="shared" si="3"/>
        <v>4</v>
      </c>
      <c r="F77" t="str">
        <f t="shared" si="4"/>
        <v>3283.7</v>
      </c>
    </row>
    <row r="78" spans="1:6" ht="15.75" x14ac:dyDescent="0.3">
      <c r="A78" s="5" t="s">
        <v>107</v>
      </c>
      <c r="B78" s="5"/>
      <c r="D78" t="str">
        <f t="shared" si="5"/>
        <v>1967</v>
      </c>
      <c r="E78" t="str">
        <f t="shared" si="3"/>
        <v>1</v>
      </c>
      <c r="F78" t="str">
        <f t="shared" si="4"/>
        <v>3313.4</v>
      </c>
    </row>
    <row r="79" spans="1:6" ht="15.75" x14ac:dyDescent="0.3">
      <c r="A79" s="5" t="s">
        <v>108</v>
      </c>
      <c r="B79" s="5"/>
      <c r="D79" t="str">
        <f t="shared" si="5"/>
        <v>1967</v>
      </c>
      <c r="E79" t="str">
        <f t="shared" si="3"/>
        <v>2</v>
      </c>
      <c r="F79" t="str">
        <f t="shared" si="4"/>
        <v>3310.7</v>
      </c>
    </row>
    <row r="80" spans="1:6" ht="15.75" x14ac:dyDescent="0.3">
      <c r="A80" s="5" t="s">
        <v>109</v>
      </c>
      <c r="B80" s="5"/>
      <c r="D80" t="str">
        <f t="shared" si="5"/>
        <v>1967</v>
      </c>
      <c r="E80" t="str">
        <f t="shared" si="3"/>
        <v>3</v>
      </c>
      <c r="F80" t="str">
        <f t="shared" si="4"/>
        <v>3336.6</v>
      </c>
    </row>
    <row r="81" spans="1:6" ht="15.75" x14ac:dyDescent="0.3">
      <c r="A81" s="5" t="s">
        <v>110</v>
      </c>
      <c r="B81" s="5"/>
      <c r="D81" t="str">
        <f t="shared" si="5"/>
        <v>1967</v>
      </c>
      <c r="E81" t="str">
        <f t="shared" si="3"/>
        <v>4</v>
      </c>
      <c r="F81" t="str">
        <f t="shared" si="4"/>
        <v>3360.8</v>
      </c>
    </row>
    <row r="82" spans="1:6" ht="15.75" x14ac:dyDescent="0.3">
      <c r="A82" s="5" t="s">
        <v>111</v>
      </c>
      <c r="B82" s="5"/>
      <c r="D82" t="str">
        <f t="shared" si="5"/>
        <v>1968</v>
      </c>
      <c r="E82" t="str">
        <f t="shared" si="3"/>
        <v>1</v>
      </c>
      <c r="F82" t="str">
        <f t="shared" si="4"/>
        <v>3429.2</v>
      </c>
    </row>
    <row r="83" spans="1:6" ht="15.75" x14ac:dyDescent="0.3">
      <c r="A83" s="5" t="s">
        <v>112</v>
      </c>
      <c r="B83" s="5"/>
      <c r="D83" t="str">
        <f t="shared" si="5"/>
        <v>1968</v>
      </c>
      <c r="E83" t="str">
        <f t="shared" si="3"/>
        <v>2</v>
      </c>
      <c r="F83" t="str">
        <f t="shared" si="4"/>
        <v>3488.3</v>
      </c>
    </row>
    <row r="84" spans="1:6" ht="15.75" x14ac:dyDescent="0.3">
      <c r="A84" s="5" t="s">
        <v>113</v>
      </c>
      <c r="B84" s="5"/>
      <c r="D84" t="str">
        <f t="shared" si="5"/>
        <v>1968</v>
      </c>
      <c r="E84" t="str">
        <f t="shared" si="3"/>
        <v>3</v>
      </c>
      <c r="F84" t="str">
        <f t="shared" si="4"/>
        <v>3513.4</v>
      </c>
    </row>
    <row r="85" spans="1:6" ht="15.75" x14ac:dyDescent="0.3">
      <c r="A85" s="5" t="s">
        <v>114</v>
      </c>
      <c r="B85" s="5"/>
      <c r="D85" t="str">
        <f t="shared" si="5"/>
        <v>1968</v>
      </c>
      <c r="E85" t="str">
        <f t="shared" si="3"/>
        <v>4</v>
      </c>
      <c r="F85" t="str">
        <f t="shared" si="4"/>
        <v>3528.1</v>
      </c>
    </row>
    <row r="86" spans="1:6" ht="15.75" x14ac:dyDescent="0.3">
      <c r="A86" s="5" t="s">
        <v>115</v>
      </c>
      <c r="B86" s="5"/>
      <c r="D86" t="str">
        <f t="shared" si="5"/>
        <v>1969</v>
      </c>
      <c r="E86" t="str">
        <f t="shared" si="3"/>
        <v>1</v>
      </c>
      <c r="F86" t="str">
        <f t="shared" si="4"/>
        <v>3582.2</v>
      </c>
    </row>
    <row r="87" spans="1:6" ht="15.75" x14ac:dyDescent="0.3">
      <c r="A87" s="5" t="s">
        <v>116</v>
      </c>
      <c r="B87" s="5"/>
      <c r="D87" t="str">
        <f t="shared" si="5"/>
        <v>1969</v>
      </c>
      <c r="E87" t="str">
        <f t="shared" si="3"/>
        <v>2</v>
      </c>
      <c r="F87" t="str">
        <f t="shared" si="4"/>
        <v>3590.6</v>
      </c>
    </row>
    <row r="88" spans="1:6" ht="15.75" x14ac:dyDescent="0.3">
      <c r="A88" s="5" t="s">
        <v>117</v>
      </c>
      <c r="B88" s="5"/>
      <c r="D88" t="str">
        <f t="shared" si="5"/>
        <v>1969</v>
      </c>
      <c r="E88" t="str">
        <f t="shared" si="3"/>
        <v>3</v>
      </c>
      <c r="F88" t="str">
        <f t="shared" si="4"/>
        <v>3610.3</v>
      </c>
    </row>
    <row r="89" spans="1:6" ht="15.75" x14ac:dyDescent="0.3">
      <c r="A89" s="5" t="s">
        <v>118</v>
      </c>
      <c r="B89" s="5"/>
      <c r="D89" t="str">
        <f t="shared" si="5"/>
        <v>1969</v>
      </c>
      <c r="E89" t="str">
        <f t="shared" si="3"/>
        <v>4</v>
      </c>
      <c r="F89" t="str">
        <f t="shared" si="4"/>
        <v>3593.3</v>
      </c>
    </row>
    <row r="90" spans="1:6" ht="15.75" x14ac:dyDescent="0.3">
      <c r="A90" s="5" t="s">
        <v>119</v>
      </c>
      <c r="B90" s="5"/>
      <c r="D90" t="str">
        <f t="shared" si="5"/>
        <v>1970</v>
      </c>
      <c r="E90" t="str">
        <f t="shared" si="3"/>
        <v>1</v>
      </c>
      <c r="F90" t="str">
        <f t="shared" si="4"/>
        <v>3589.1</v>
      </c>
    </row>
    <row r="91" spans="1:6" ht="15.75" x14ac:dyDescent="0.3">
      <c r="A91" s="5" t="s">
        <v>120</v>
      </c>
      <c r="B91" s="5"/>
      <c r="D91" t="str">
        <f t="shared" si="5"/>
        <v>1970</v>
      </c>
      <c r="E91" t="str">
        <f t="shared" si="3"/>
        <v>2</v>
      </c>
      <c r="F91" t="str">
        <f t="shared" si="4"/>
        <v>3597.4</v>
      </c>
    </row>
    <row r="92" spans="1:6" ht="15.75" x14ac:dyDescent="0.3">
      <c r="A92" s="5" t="s">
        <v>121</v>
      </c>
      <c r="B92" s="5"/>
      <c r="D92" t="str">
        <f t="shared" si="5"/>
        <v>1970</v>
      </c>
      <c r="E92" t="str">
        <f t="shared" si="3"/>
        <v>3</v>
      </c>
      <c r="F92" t="str">
        <f t="shared" si="4"/>
        <v>3628.3</v>
      </c>
    </row>
    <row r="93" spans="1:6" ht="15.75" x14ac:dyDescent="0.3">
      <c r="A93" s="5" t="s">
        <v>122</v>
      </c>
      <c r="B93" s="5"/>
      <c r="D93" t="str">
        <f t="shared" si="5"/>
        <v>1970</v>
      </c>
      <c r="E93" t="str">
        <f t="shared" si="3"/>
        <v>4</v>
      </c>
      <c r="F93" t="str">
        <f t="shared" si="4"/>
        <v>3587.6</v>
      </c>
    </row>
    <row r="94" spans="1:6" ht="15.75" x14ac:dyDescent="0.3">
      <c r="A94" s="5" t="s">
        <v>123</v>
      </c>
      <c r="B94" s="5"/>
      <c r="D94" t="str">
        <f t="shared" si="5"/>
        <v>1971</v>
      </c>
      <c r="E94" t="str">
        <f t="shared" si="3"/>
        <v>1</v>
      </c>
      <c r="F94" t="str">
        <f t="shared" si="4"/>
        <v>3691.3</v>
      </c>
    </row>
    <row r="95" spans="1:6" ht="15.75" x14ac:dyDescent="0.3">
      <c r="A95" s="5" t="s">
        <v>124</v>
      </c>
      <c r="B95" s="5"/>
      <c r="D95" t="str">
        <f t="shared" si="5"/>
        <v>1971</v>
      </c>
      <c r="E95" t="str">
        <f t="shared" si="3"/>
        <v>2</v>
      </c>
      <c r="F95" t="str">
        <f t="shared" si="4"/>
        <v>3712.8</v>
      </c>
    </row>
    <row r="96" spans="1:6" ht="15.75" x14ac:dyDescent="0.3">
      <c r="A96" s="5" t="s">
        <v>125</v>
      </c>
      <c r="B96" s="5"/>
      <c r="D96" t="str">
        <f t="shared" si="5"/>
        <v>1971</v>
      </c>
      <c r="E96" t="str">
        <f t="shared" si="3"/>
        <v>3</v>
      </c>
      <c r="F96" t="str">
        <f t="shared" si="4"/>
        <v>3738.4</v>
      </c>
    </row>
    <row r="97" spans="1:6" ht="15.75" x14ac:dyDescent="0.3">
      <c r="A97" s="5" t="s">
        <v>126</v>
      </c>
      <c r="B97" s="5"/>
      <c r="D97" t="str">
        <f t="shared" si="5"/>
        <v>1971</v>
      </c>
      <c r="E97" t="str">
        <f t="shared" si="3"/>
        <v>4</v>
      </c>
      <c r="F97" t="str">
        <f t="shared" si="4"/>
        <v>3749.2</v>
      </c>
    </row>
    <row r="98" spans="1:6" ht="15.75" x14ac:dyDescent="0.3">
      <c r="A98" s="5" t="s">
        <v>127</v>
      </c>
      <c r="B98" s="5"/>
      <c r="D98" t="str">
        <f t="shared" si="5"/>
        <v>1972</v>
      </c>
      <c r="E98" t="str">
        <f t="shared" si="3"/>
        <v>1</v>
      </c>
      <c r="F98" t="str">
        <f t="shared" si="4"/>
        <v>3823.4</v>
      </c>
    </row>
    <row r="99" spans="1:6" ht="15.75" x14ac:dyDescent="0.3">
      <c r="A99" s="5" t="s">
        <v>128</v>
      </c>
      <c r="B99" s="5"/>
      <c r="D99" t="str">
        <f t="shared" si="5"/>
        <v>1972</v>
      </c>
      <c r="E99" t="str">
        <f t="shared" si="3"/>
        <v>2</v>
      </c>
      <c r="F99" t="str">
        <f t="shared" si="4"/>
        <v>3910.0</v>
      </c>
    </row>
    <row r="100" spans="1:6" ht="15.75" x14ac:dyDescent="0.3">
      <c r="A100" s="5" t="s">
        <v>129</v>
      </c>
      <c r="B100" s="5"/>
      <c r="D100" t="str">
        <f t="shared" si="5"/>
        <v>1972</v>
      </c>
      <c r="E100" t="str">
        <f t="shared" si="3"/>
        <v>3</v>
      </c>
      <c r="F100" t="str">
        <f t="shared" si="4"/>
        <v>3950.7</v>
      </c>
    </row>
    <row r="101" spans="1:6" ht="15.75" x14ac:dyDescent="0.3">
      <c r="A101" s="5" t="s">
        <v>130</v>
      </c>
      <c r="B101" s="5"/>
      <c r="D101" t="str">
        <f t="shared" si="5"/>
        <v>1972</v>
      </c>
      <c r="E101" t="str">
        <f t="shared" si="3"/>
        <v>4</v>
      </c>
      <c r="F101" t="str">
        <f t="shared" si="4"/>
        <v>4018.7</v>
      </c>
    </row>
    <row r="102" spans="1:6" ht="15.75" x14ac:dyDescent="0.3">
      <c r="A102" s="5" t="s">
        <v>131</v>
      </c>
      <c r="B102" s="5"/>
      <c r="D102" t="str">
        <f t="shared" si="5"/>
        <v>1973</v>
      </c>
      <c r="E102" t="str">
        <f t="shared" si="3"/>
        <v>1</v>
      </c>
      <c r="F102" t="str">
        <f t="shared" si="4"/>
        <v>4125.0</v>
      </c>
    </row>
    <row r="103" spans="1:6" ht="15.75" x14ac:dyDescent="0.3">
      <c r="A103" s="5" t="s">
        <v>132</v>
      </c>
      <c r="B103" s="5"/>
      <c r="D103" t="str">
        <f t="shared" si="5"/>
        <v>1973</v>
      </c>
      <c r="E103" t="str">
        <f t="shared" si="3"/>
        <v>2</v>
      </c>
      <c r="F103" t="str">
        <f t="shared" si="4"/>
        <v>4168.3</v>
      </c>
    </row>
    <row r="104" spans="1:6" ht="15.75" x14ac:dyDescent="0.3">
      <c r="A104" s="5" t="s">
        <v>133</v>
      </c>
      <c r="B104" s="5"/>
      <c r="D104" t="str">
        <f t="shared" si="5"/>
        <v>1973</v>
      </c>
      <c r="E104" t="str">
        <f t="shared" si="3"/>
        <v>3</v>
      </c>
      <c r="F104" t="str">
        <f t="shared" si="4"/>
        <v>4158.0</v>
      </c>
    </row>
    <row r="105" spans="1:6" ht="15.75" x14ac:dyDescent="0.3">
      <c r="A105" s="5" t="s">
        <v>134</v>
      </c>
      <c r="B105" s="5"/>
      <c r="D105" t="str">
        <f t="shared" si="5"/>
        <v>1973</v>
      </c>
      <c r="E105" t="str">
        <f t="shared" si="3"/>
        <v>4</v>
      </c>
      <c r="F105" t="str">
        <f t="shared" si="4"/>
        <v>4192.5</v>
      </c>
    </row>
    <row r="106" spans="1:6" ht="15.75" x14ac:dyDescent="0.3">
      <c r="A106" s="5" t="s">
        <v>135</v>
      </c>
      <c r="B106" s="5"/>
      <c r="D106" t="str">
        <f t="shared" si="5"/>
        <v>1974</v>
      </c>
      <c r="E106" t="str">
        <f t="shared" si="3"/>
        <v>1</v>
      </c>
      <c r="F106" t="str">
        <f t="shared" si="4"/>
        <v>4168.1</v>
      </c>
    </row>
    <row r="107" spans="1:6" ht="15.75" x14ac:dyDescent="0.3">
      <c r="A107" s="5" t="s">
        <v>136</v>
      </c>
      <c r="B107" s="5"/>
      <c r="D107" t="str">
        <f t="shared" si="5"/>
        <v>1974</v>
      </c>
      <c r="E107" t="str">
        <f t="shared" si="3"/>
        <v>2</v>
      </c>
      <c r="F107" t="str">
        <f t="shared" si="4"/>
        <v>4176.5</v>
      </c>
    </row>
    <row r="108" spans="1:6" ht="15.75" x14ac:dyDescent="0.3">
      <c r="A108" s="5" t="s">
        <v>137</v>
      </c>
      <c r="B108" s="5"/>
      <c r="D108" t="str">
        <f t="shared" si="5"/>
        <v>1974</v>
      </c>
      <c r="E108" t="str">
        <f t="shared" si="3"/>
        <v>3</v>
      </c>
      <c r="F108" t="str">
        <f t="shared" si="4"/>
        <v>4126.5</v>
      </c>
    </row>
    <row r="109" spans="1:6" ht="15.75" x14ac:dyDescent="0.3">
      <c r="A109" s="5" t="s">
        <v>138</v>
      </c>
      <c r="B109" s="5"/>
      <c r="D109" t="str">
        <f t="shared" si="5"/>
        <v>1974</v>
      </c>
      <c r="E109" t="str">
        <f t="shared" si="3"/>
        <v>4</v>
      </c>
      <c r="F109" t="str">
        <f t="shared" si="4"/>
        <v>4098.0</v>
      </c>
    </row>
    <row r="110" spans="1:6" ht="15.75" x14ac:dyDescent="0.3">
      <c r="A110" s="5" t="s">
        <v>139</v>
      </c>
      <c r="B110" s="5"/>
      <c r="D110" t="str">
        <f t="shared" si="5"/>
        <v>1975</v>
      </c>
      <c r="E110" t="str">
        <f t="shared" si="3"/>
        <v>1</v>
      </c>
      <c r="F110" t="str">
        <f t="shared" si="4"/>
        <v>4040.1</v>
      </c>
    </row>
    <row r="111" spans="1:6" ht="15.75" x14ac:dyDescent="0.3">
      <c r="A111" s="5" t="s">
        <v>140</v>
      </c>
      <c r="B111" s="5"/>
      <c r="D111" t="str">
        <f t="shared" si="5"/>
        <v>1975</v>
      </c>
      <c r="E111" t="str">
        <f t="shared" si="3"/>
        <v>2</v>
      </c>
      <c r="F111" t="str">
        <f t="shared" si="4"/>
        <v>4075.6</v>
      </c>
    </row>
    <row r="112" spans="1:6" ht="15.75" x14ac:dyDescent="0.3">
      <c r="A112" s="5" t="s">
        <v>141</v>
      </c>
      <c r="B112" s="5"/>
      <c r="D112" t="str">
        <f t="shared" si="5"/>
        <v>1975</v>
      </c>
      <c r="E112" t="str">
        <f t="shared" si="3"/>
        <v>3</v>
      </c>
      <c r="F112" t="str">
        <f t="shared" si="4"/>
        <v>4148.4</v>
      </c>
    </row>
    <row r="113" spans="1:6" ht="15.75" x14ac:dyDescent="0.3">
      <c r="A113" s="5" t="s">
        <v>142</v>
      </c>
      <c r="B113" s="5"/>
      <c r="D113" t="str">
        <f t="shared" si="5"/>
        <v>1975</v>
      </c>
      <c r="E113" t="str">
        <f t="shared" si="3"/>
        <v>4</v>
      </c>
      <c r="F113" t="str">
        <f t="shared" si="4"/>
        <v>4206.7</v>
      </c>
    </row>
    <row r="114" spans="1:6" ht="15.75" x14ac:dyDescent="0.3">
      <c r="A114" s="5" t="s">
        <v>143</v>
      </c>
      <c r="B114" s="5"/>
      <c r="D114" t="str">
        <f t="shared" si="5"/>
        <v>1976</v>
      </c>
      <c r="E114" t="str">
        <f t="shared" si="3"/>
        <v>1</v>
      </c>
      <c r="F114" t="str">
        <f t="shared" si="4"/>
        <v>4304.2</v>
      </c>
    </row>
    <row r="115" spans="1:6" ht="15.75" x14ac:dyDescent="0.3">
      <c r="A115" s="5" t="s">
        <v>144</v>
      </c>
      <c r="B115" s="5"/>
      <c r="D115" t="str">
        <f t="shared" si="5"/>
        <v>1976</v>
      </c>
      <c r="E115" t="str">
        <f t="shared" si="3"/>
        <v>2</v>
      </c>
      <c r="F115" t="str">
        <f t="shared" si="4"/>
        <v>4341.2</v>
      </c>
    </row>
    <row r="116" spans="1:6" ht="15.75" x14ac:dyDescent="0.3">
      <c r="A116" s="5" t="s">
        <v>145</v>
      </c>
      <c r="B116" s="5"/>
      <c r="D116" t="str">
        <f t="shared" si="5"/>
        <v>1976</v>
      </c>
      <c r="E116" t="str">
        <f t="shared" si="3"/>
        <v>3</v>
      </c>
      <c r="F116" t="str">
        <f t="shared" si="4"/>
        <v>4362.0</v>
      </c>
    </row>
    <row r="117" spans="1:6" ht="15.75" x14ac:dyDescent="0.3">
      <c r="A117" s="5" t="s">
        <v>146</v>
      </c>
      <c r="B117" s="5"/>
      <c r="D117" t="str">
        <f t="shared" si="5"/>
        <v>1976</v>
      </c>
      <c r="E117" t="str">
        <f t="shared" si="3"/>
        <v>4</v>
      </c>
      <c r="F117" t="str">
        <f t="shared" si="4"/>
        <v>4398.4</v>
      </c>
    </row>
    <row r="118" spans="1:6" ht="15.75" x14ac:dyDescent="0.3">
      <c r="A118" s="5" t="s">
        <v>147</v>
      </c>
      <c r="B118" s="5"/>
      <c r="D118" t="str">
        <f t="shared" si="5"/>
        <v>1977</v>
      </c>
      <c r="E118" t="str">
        <f t="shared" si="3"/>
        <v>1</v>
      </c>
      <c r="F118" t="str">
        <f t="shared" si="4"/>
        <v>4457.6</v>
      </c>
    </row>
    <row r="119" spans="1:6" ht="15.75" x14ac:dyDescent="0.3">
      <c r="A119" s="5" t="s">
        <v>148</v>
      </c>
      <c r="B119" s="5"/>
      <c r="D119" t="str">
        <f t="shared" si="5"/>
        <v>1977</v>
      </c>
      <c r="E119" t="str">
        <f t="shared" si="3"/>
        <v>2</v>
      </c>
      <c r="F119" t="str">
        <f t="shared" si="4"/>
        <v>4535.9</v>
      </c>
    </row>
    <row r="120" spans="1:6" ht="15.75" x14ac:dyDescent="0.3">
      <c r="A120" s="5" t="s">
        <v>149</v>
      </c>
      <c r="B120" s="5"/>
      <c r="D120" t="str">
        <f t="shared" si="5"/>
        <v>1977</v>
      </c>
      <c r="E120" t="str">
        <f t="shared" si="3"/>
        <v>3</v>
      </c>
      <c r="F120" t="str">
        <f t="shared" si="4"/>
        <v>4616.4</v>
      </c>
    </row>
    <row r="121" spans="1:6" ht="15.75" x14ac:dyDescent="0.3">
      <c r="A121" s="5" t="s">
        <v>150</v>
      </c>
      <c r="B121" s="5"/>
      <c r="D121" t="str">
        <f t="shared" si="5"/>
        <v>1977</v>
      </c>
      <c r="E121" t="str">
        <f t="shared" si="3"/>
        <v>4</v>
      </c>
      <c r="F121" t="str">
        <f t="shared" si="4"/>
        <v>4616.6</v>
      </c>
    </row>
    <row r="122" spans="1:6" ht="15.75" x14ac:dyDescent="0.3">
      <c r="A122" s="5" t="s">
        <v>151</v>
      </c>
      <c r="B122" s="5"/>
      <c r="D122" t="str">
        <f t="shared" si="5"/>
        <v>1978</v>
      </c>
      <c r="E122" t="str">
        <f t="shared" si="3"/>
        <v>1</v>
      </c>
      <c r="F122" t="str">
        <f t="shared" si="4"/>
        <v>4636.0</v>
      </c>
    </row>
    <row r="123" spans="1:6" ht="15.75" x14ac:dyDescent="0.3">
      <c r="A123" s="5" t="s">
        <v>152</v>
      </c>
      <c r="B123" s="5"/>
      <c r="D123" t="str">
        <f t="shared" si="5"/>
        <v>1978</v>
      </c>
      <c r="E123" t="str">
        <f t="shared" si="3"/>
        <v>2</v>
      </c>
      <c r="F123" t="str">
        <f t="shared" si="4"/>
        <v>4804.8</v>
      </c>
    </row>
    <row r="124" spans="1:6" ht="15.75" x14ac:dyDescent="0.3">
      <c r="A124" s="5" t="s">
        <v>153</v>
      </c>
      <c r="B124" s="5"/>
      <c r="D124" t="str">
        <f t="shared" si="5"/>
        <v>1978</v>
      </c>
      <c r="E124" t="str">
        <f t="shared" si="3"/>
        <v>3</v>
      </c>
      <c r="F124" t="str">
        <f t="shared" si="4"/>
        <v>4854.6</v>
      </c>
    </row>
    <row r="125" spans="1:6" ht="15.75" x14ac:dyDescent="0.3">
      <c r="A125" s="5" t="s">
        <v>154</v>
      </c>
      <c r="B125" s="5"/>
      <c r="D125" t="str">
        <f t="shared" si="5"/>
        <v>1978</v>
      </c>
      <c r="E125" t="str">
        <f t="shared" si="3"/>
        <v>4</v>
      </c>
      <c r="F125" t="str">
        <f t="shared" si="4"/>
        <v>4925.8</v>
      </c>
    </row>
    <row r="126" spans="1:6" ht="15.75" x14ac:dyDescent="0.3">
      <c r="A126" s="5" t="s">
        <v>155</v>
      </c>
      <c r="B126" s="5"/>
      <c r="D126" t="str">
        <f t="shared" si="5"/>
        <v>1979</v>
      </c>
      <c r="E126" t="str">
        <f t="shared" si="3"/>
        <v>1</v>
      </c>
      <c r="F126" t="str">
        <f t="shared" si="4"/>
        <v>4939.6</v>
      </c>
    </row>
    <row r="127" spans="1:6" ht="15.75" x14ac:dyDescent="0.3">
      <c r="A127" s="5" t="s">
        <v>156</v>
      </c>
      <c r="B127" s="5"/>
      <c r="D127" t="str">
        <f t="shared" si="5"/>
        <v>1979</v>
      </c>
      <c r="E127" t="str">
        <f t="shared" si="3"/>
        <v>2</v>
      </c>
      <c r="F127" t="str">
        <f t="shared" si="4"/>
        <v>4949.3</v>
      </c>
    </row>
    <row r="128" spans="1:6" ht="15.75" x14ac:dyDescent="0.3">
      <c r="A128" s="5" t="s">
        <v>157</v>
      </c>
      <c r="B128" s="5"/>
      <c r="D128" t="str">
        <f t="shared" si="5"/>
        <v>1979</v>
      </c>
      <c r="E128" t="str">
        <f t="shared" si="3"/>
        <v>3</v>
      </c>
      <c r="F128" t="str">
        <f t="shared" si="4"/>
        <v>4995.6</v>
      </c>
    </row>
    <row r="129" spans="1:6" ht="15.75" x14ac:dyDescent="0.3">
      <c r="A129" s="5" t="s">
        <v>158</v>
      </c>
      <c r="B129" s="5"/>
      <c r="D129" t="str">
        <f t="shared" si="5"/>
        <v>1979</v>
      </c>
      <c r="E129" t="str">
        <f t="shared" si="3"/>
        <v>4</v>
      </c>
      <c r="F129" t="str">
        <f t="shared" si="4"/>
        <v>5011.4</v>
      </c>
    </row>
    <row r="130" spans="1:6" ht="15.75" x14ac:dyDescent="0.3">
      <c r="A130" s="5" t="s">
        <v>159</v>
      </c>
      <c r="B130" s="5"/>
      <c r="D130" t="str">
        <f t="shared" si="5"/>
        <v>1980</v>
      </c>
      <c r="E130" t="str">
        <f t="shared" si="3"/>
        <v>1</v>
      </c>
      <c r="F130" t="str">
        <f t="shared" si="4"/>
        <v>5028.8</v>
      </c>
    </row>
    <row r="131" spans="1:6" ht="15.75" x14ac:dyDescent="0.3">
      <c r="A131" s="5" t="s">
        <v>160</v>
      </c>
      <c r="B131" s="5"/>
      <c r="D131" t="str">
        <f t="shared" si="5"/>
        <v>1980</v>
      </c>
      <c r="E131" t="str">
        <f t="shared" si="3"/>
        <v>2</v>
      </c>
      <c r="F131" t="str">
        <f t="shared" si="4"/>
        <v>4922.5</v>
      </c>
    </row>
    <row r="132" spans="1:6" ht="15.75" x14ac:dyDescent="0.3">
      <c r="A132" s="5" t="s">
        <v>161</v>
      </c>
      <c r="B132" s="5"/>
      <c r="D132" t="str">
        <f t="shared" si="5"/>
        <v>1980</v>
      </c>
      <c r="E132" t="str">
        <f t="shared" si="3"/>
        <v>3</v>
      </c>
      <c r="F132" t="str">
        <f t="shared" si="4"/>
        <v>4911.3</v>
      </c>
    </row>
    <row r="133" spans="1:6" ht="15.75" x14ac:dyDescent="0.3">
      <c r="A133" s="5" t="s">
        <v>162</v>
      </c>
      <c r="B133" s="5"/>
      <c r="D133" t="str">
        <f t="shared" si="5"/>
        <v>1980</v>
      </c>
      <c r="E133" t="str">
        <f t="shared" si="3"/>
        <v>4</v>
      </c>
      <c r="F133" t="str">
        <f t="shared" si="4"/>
        <v>4986.3</v>
      </c>
    </row>
    <row r="134" spans="1:6" ht="15.75" x14ac:dyDescent="0.3">
      <c r="A134" s="5" t="s">
        <v>163</v>
      </c>
      <c r="B134" s="5"/>
      <c r="D134" t="str">
        <f t="shared" si="5"/>
        <v>1981</v>
      </c>
      <c r="E134" t="str">
        <f t="shared" si="3"/>
        <v>1</v>
      </c>
      <c r="F134" t="str">
        <f t="shared" si="4"/>
        <v>5086.4</v>
      </c>
    </row>
    <row r="135" spans="1:6" ht="15.75" x14ac:dyDescent="0.3">
      <c r="A135" s="5" t="s">
        <v>164</v>
      </c>
      <c r="B135" s="5"/>
      <c r="D135" t="str">
        <f t="shared" si="5"/>
        <v>1981</v>
      </c>
      <c r="E135" t="str">
        <f t="shared" si="3"/>
        <v>2</v>
      </c>
      <c r="F135" t="str">
        <f t="shared" si="4"/>
        <v>5048.1</v>
      </c>
    </row>
    <row r="136" spans="1:6" ht="15.75" x14ac:dyDescent="0.3">
      <c r="A136" s="5" t="s">
        <v>165</v>
      </c>
      <c r="B136" s="5"/>
      <c r="D136" t="str">
        <f t="shared" si="5"/>
        <v>1981</v>
      </c>
      <c r="E136" t="str">
        <f t="shared" si="3"/>
        <v>3</v>
      </c>
      <c r="F136" t="str">
        <f t="shared" si="4"/>
        <v>5110.5</v>
      </c>
    </row>
    <row r="137" spans="1:6" ht="15.75" x14ac:dyDescent="0.3">
      <c r="A137" s="5" t="s">
        <v>166</v>
      </c>
      <c r="B137" s="5"/>
      <c r="D137" t="str">
        <f t="shared" si="5"/>
        <v>1981</v>
      </c>
      <c r="E137" t="str">
        <f t="shared" si="3"/>
        <v>4</v>
      </c>
      <c r="F137" t="str">
        <f t="shared" si="4"/>
        <v>5056.8</v>
      </c>
    </row>
    <row r="138" spans="1:6" ht="15.75" x14ac:dyDescent="0.3">
      <c r="A138" s="5" t="s">
        <v>167</v>
      </c>
      <c r="B138" s="5"/>
      <c r="D138" t="str">
        <f t="shared" si="5"/>
        <v>1982</v>
      </c>
      <c r="E138" t="str">
        <f t="shared" si="3"/>
        <v>1</v>
      </c>
      <c r="F138" t="str">
        <f t="shared" si="4"/>
        <v>4969.4</v>
      </c>
    </row>
    <row r="139" spans="1:6" ht="15.75" x14ac:dyDescent="0.3">
      <c r="A139" s="5" t="s">
        <v>168</v>
      </c>
      <c r="B139" s="5"/>
      <c r="D139" t="str">
        <f t="shared" si="5"/>
        <v>1982</v>
      </c>
      <c r="E139" t="str">
        <f t="shared" ref="E139:E202" si="6">TEXT(MID(A139, FIND(".", A139) + 1, 1), "0")</f>
        <v>2</v>
      </c>
      <c r="F139" t="str">
        <f t="shared" ref="F139:F202" si="7">TEXT(RIGHT(A139, LEN(A139) - FIND(" ", A139)), "0.0")</f>
        <v>4996.9</v>
      </c>
    </row>
    <row r="140" spans="1:6" ht="15.75" x14ac:dyDescent="0.3">
      <c r="A140" s="5" t="s">
        <v>169</v>
      </c>
      <c r="B140" s="5"/>
      <c r="D140" t="str">
        <f t="shared" ref="D140:D203" si="8">TEXT(LEFT(A140, FIND(".", A140) - 1), "0")</f>
        <v>1982</v>
      </c>
      <c r="E140" t="str">
        <f t="shared" si="6"/>
        <v>3</v>
      </c>
      <c r="F140" t="str">
        <f t="shared" si="7"/>
        <v>4963.4</v>
      </c>
    </row>
    <row r="141" spans="1:6" ht="15.75" x14ac:dyDescent="0.3">
      <c r="A141" s="5" t="s">
        <v>170</v>
      </c>
      <c r="B141" s="5"/>
      <c r="D141" t="str">
        <f t="shared" si="8"/>
        <v>1982</v>
      </c>
      <c r="E141" t="str">
        <f t="shared" si="6"/>
        <v>4</v>
      </c>
      <c r="F141" t="str">
        <f t="shared" si="7"/>
        <v>4964.8</v>
      </c>
    </row>
    <row r="142" spans="1:6" ht="15.75" x14ac:dyDescent="0.3">
      <c r="A142" s="5" t="s">
        <v>171</v>
      </c>
      <c r="B142" s="5"/>
      <c r="D142" t="str">
        <f t="shared" si="8"/>
        <v>1983</v>
      </c>
      <c r="E142" t="str">
        <f t="shared" si="6"/>
        <v>1</v>
      </c>
      <c r="F142" t="str">
        <f t="shared" si="7"/>
        <v>5021.5</v>
      </c>
    </row>
    <row r="143" spans="1:6" ht="15.75" x14ac:dyDescent="0.3">
      <c r="A143" s="5" t="s">
        <v>172</v>
      </c>
      <c r="B143" s="5"/>
      <c r="D143" t="str">
        <f t="shared" si="8"/>
        <v>1983</v>
      </c>
      <c r="E143" t="str">
        <f t="shared" si="6"/>
        <v>2</v>
      </c>
      <c r="F143" t="str">
        <f t="shared" si="7"/>
        <v>5142.2</v>
      </c>
    </row>
    <row r="144" spans="1:6" ht="15.75" x14ac:dyDescent="0.3">
      <c r="A144" s="5" t="s">
        <v>173</v>
      </c>
      <c r="B144" s="5"/>
      <c r="D144" t="str">
        <f t="shared" si="8"/>
        <v>1983</v>
      </c>
      <c r="E144" t="str">
        <f t="shared" si="6"/>
        <v>3</v>
      </c>
      <c r="F144" t="str">
        <f t="shared" si="7"/>
        <v>5233.9</v>
      </c>
    </row>
    <row r="145" spans="1:6" ht="15.75" x14ac:dyDescent="0.3">
      <c r="A145" s="5" t="s">
        <v>174</v>
      </c>
      <c r="B145" s="5"/>
      <c r="D145" t="str">
        <f t="shared" si="8"/>
        <v>1983</v>
      </c>
      <c r="E145" t="str">
        <f t="shared" si="6"/>
        <v>4</v>
      </c>
      <c r="F145" t="str">
        <f t="shared" si="7"/>
        <v>5342.0</v>
      </c>
    </row>
    <row r="146" spans="1:6" ht="15.75" x14ac:dyDescent="0.3">
      <c r="A146" s="5" t="s">
        <v>175</v>
      </c>
      <c r="B146" s="5"/>
      <c r="D146" t="str">
        <f t="shared" si="8"/>
        <v>1984</v>
      </c>
      <c r="E146" t="str">
        <f t="shared" si="6"/>
        <v>1</v>
      </c>
      <c r="F146" t="str">
        <f t="shared" si="7"/>
        <v>5452.6</v>
      </c>
    </row>
    <row r="147" spans="1:6" ht="15.75" x14ac:dyDescent="0.3">
      <c r="A147" s="5" t="s">
        <v>176</v>
      </c>
      <c r="B147" s="5"/>
      <c r="D147" t="str">
        <f t="shared" si="8"/>
        <v>1984</v>
      </c>
      <c r="E147" t="str">
        <f t="shared" si="6"/>
        <v>2</v>
      </c>
      <c r="F147" t="str">
        <f t="shared" si="7"/>
        <v>5544.3</v>
      </c>
    </row>
    <row r="148" spans="1:6" ht="15.75" x14ac:dyDescent="0.3">
      <c r="A148" s="5" t="s">
        <v>177</v>
      </c>
      <c r="B148" s="5"/>
      <c r="D148" t="str">
        <f t="shared" si="8"/>
        <v>1984</v>
      </c>
      <c r="E148" t="str">
        <f t="shared" si="6"/>
        <v>3</v>
      </c>
      <c r="F148" t="str">
        <f t="shared" si="7"/>
        <v>5591.1</v>
      </c>
    </row>
    <row r="149" spans="1:6" ht="15.75" x14ac:dyDescent="0.3">
      <c r="A149" s="5" t="s">
        <v>178</v>
      </c>
      <c r="B149" s="5"/>
      <c r="D149" t="str">
        <f t="shared" si="8"/>
        <v>1984</v>
      </c>
      <c r="E149" t="str">
        <f t="shared" si="6"/>
        <v>4</v>
      </c>
      <c r="F149" t="str">
        <f t="shared" si="7"/>
        <v>5627.1</v>
      </c>
    </row>
    <row r="150" spans="1:6" ht="15.75" x14ac:dyDescent="0.3">
      <c r="A150" s="5" t="s">
        <v>179</v>
      </c>
      <c r="B150" s="5"/>
      <c r="D150" t="str">
        <f t="shared" si="8"/>
        <v>1985</v>
      </c>
      <c r="E150" t="str">
        <f t="shared" si="6"/>
        <v>1</v>
      </c>
      <c r="F150" t="str">
        <f t="shared" si="7"/>
        <v>5664.3</v>
      </c>
    </row>
    <row r="151" spans="1:6" ht="15.75" x14ac:dyDescent="0.3">
      <c r="A151" s="5" t="s">
        <v>180</v>
      </c>
      <c r="B151" s="5"/>
      <c r="D151" t="str">
        <f t="shared" si="8"/>
        <v>1985</v>
      </c>
      <c r="E151" t="str">
        <f t="shared" si="6"/>
        <v>2</v>
      </c>
      <c r="F151" t="str">
        <f t="shared" si="7"/>
        <v>5710.9</v>
      </c>
    </row>
    <row r="152" spans="1:6" ht="15.75" x14ac:dyDescent="0.3">
      <c r="A152" s="5" t="s">
        <v>181</v>
      </c>
      <c r="B152" s="5"/>
      <c r="D152" t="str">
        <f t="shared" si="8"/>
        <v>1985</v>
      </c>
      <c r="E152" t="str">
        <f t="shared" si="6"/>
        <v>3</v>
      </c>
      <c r="F152" t="str">
        <f t="shared" si="7"/>
        <v>5788.6</v>
      </c>
    </row>
    <row r="153" spans="1:6" ht="15.75" x14ac:dyDescent="0.3">
      <c r="A153" s="5" t="s">
        <v>182</v>
      </c>
      <c r="B153" s="5"/>
      <c r="D153" t="str">
        <f t="shared" si="8"/>
        <v>1985</v>
      </c>
      <c r="E153" t="str">
        <f t="shared" si="6"/>
        <v>4</v>
      </c>
      <c r="F153" t="str">
        <f t="shared" si="7"/>
        <v>5839.6</v>
      </c>
    </row>
    <row r="154" spans="1:6" ht="15.75" x14ac:dyDescent="0.3">
      <c r="A154" s="5" t="s">
        <v>183</v>
      </c>
      <c r="B154" s="5"/>
      <c r="D154" t="str">
        <f t="shared" si="8"/>
        <v>1986</v>
      </c>
      <c r="E154" t="str">
        <f t="shared" si="6"/>
        <v>1</v>
      </c>
      <c r="F154" t="str">
        <f t="shared" si="7"/>
        <v>5887.3</v>
      </c>
    </row>
    <row r="155" spans="1:6" ht="15.75" x14ac:dyDescent="0.3">
      <c r="A155" s="5" t="s">
        <v>184</v>
      </c>
      <c r="B155" s="5"/>
      <c r="D155" t="str">
        <f t="shared" si="8"/>
        <v>1986</v>
      </c>
      <c r="E155" t="str">
        <f t="shared" si="6"/>
        <v>2</v>
      </c>
      <c r="F155" t="str">
        <f t="shared" si="7"/>
        <v>5901.9</v>
      </c>
    </row>
    <row r="156" spans="1:6" ht="15.75" x14ac:dyDescent="0.3">
      <c r="A156" s="5" t="s">
        <v>185</v>
      </c>
      <c r="B156" s="5"/>
      <c r="D156" t="str">
        <f t="shared" si="8"/>
        <v>1986</v>
      </c>
      <c r="E156" t="str">
        <f t="shared" si="6"/>
        <v>3</v>
      </c>
      <c r="F156" t="str">
        <f t="shared" si="7"/>
        <v>5959.0</v>
      </c>
    </row>
    <row r="157" spans="1:6" ht="15.75" x14ac:dyDescent="0.3">
      <c r="A157" s="5" t="s">
        <v>186</v>
      </c>
      <c r="B157" s="5"/>
      <c r="D157" t="str">
        <f t="shared" si="8"/>
        <v>1986</v>
      </c>
      <c r="E157" t="str">
        <f t="shared" si="6"/>
        <v>4</v>
      </c>
      <c r="F157" t="str">
        <f t="shared" si="7"/>
        <v>5981.7</v>
      </c>
    </row>
    <row r="158" spans="1:6" ht="15.75" x14ac:dyDescent="0.3">
      <c r="A158" s="5" t="s">
        <v>187</v>
      </c>
      <c r="B158" s="5"/>
      <c r="D158" t="str">
        <f t="shared" si="8"/>
        <v>1987</v>
      </c>
      <c r="E158" t="str">
        <f t="shared" si="6"/>
        <v>1</v>
      </c>
      <c r="F158" t="str">
        <f t="shared" si="7"/>
        <v>6027.6</v>
      </c>
    </row>
    <row r="159" spans="1:6" ht="15.75" x14ac:dyDescent="0.3">
      <c r="A159" s="5" t="s">
        <v>188</v>
      </c>
      <c r="B159" s="5"/>
      <c r="D159" t="str">
        <f t="shared" si="8"/>
        <v>1987</v>
      </c>
      <c r="E159" t="str">
        <f t="shared" si="6"/>
        <v>2</v>
      </c>
      <c r="F159" t="str">
        <f t="shared" si="7"/>
        <v>6095.8</v>
      </c>
    </row>
    <row r="160" spans="1:6" ht="15.75" x14ac:dyDescent="0.3">
      <c r="A160" s="5" t="s">
        <v>189</v>
      </c>
      <c r="B160" s="5"/>
      <c r="D160" t="str">
        <f t="shared" si="8"/>
        <v>1987</v>
      </c>
      <c r="E160" t="str">
        <f t="shared" si="6"/>
        <v>3</v>
      </c>
      <c r="F160" t="str">
        <f t="shared" si="7"/>
        <v>6145.8</v>
      </c>
    </row>
    <row r="161" spans="1:6" ht="15.75" x14ac:dyDescent="0.3">
      <c r="A161" s="5" t="s">
        <v>190</v>
      </c>
      <c r="B161" s="5"/>
      <c r="D161" t="str">
        <f t="shared" si="8"/>
        <v>1987</v>
      </c>
      <c r="E161" t="str">
        <f t="shared" si="6"/>
        <v>4</v>
      </c>
      <c r="F161" t="str">
        <f t="shared" si="7"/>
        <v>6254.1</v>
      </c>
    </row>
    <row r="162" spans="1:6" ht="15.75" x14ac:dyDescent="0.3">
      <c r="A162" s="5" t="s">
        <v>191</v>
      </c>
      <c r="B162" s="5"/>
      <c r="D162" t="str">
        <f t="shared" si="8"/>
        <v>1988</v>
      </c>
      <c r="E162" t="str">
        <f t="shared" si="6"/>
        <v>1</v>
      </c>
      <c r="F162" t="str">
        <f t="shared" si="7"/>
        <v>6302.0</v>
      </c>
    </row>
    <row r="163" spans="1:6" ht="15.75" x14ac:dyDescent="0.3">
      <c r="A163" s="5" t="s">
        <v>192</v>
      </c>
      <c r="B163" s="5"/>
      <c r="D163" t="str">
        <f t="shared" si="8"/>
        <v>1988</v>
      </c>
      <c r="E163" t="str">
        <f t="shared" si="6"/>
        <v>2</v>
      </c>
      <c r="F163" t="str">
        <f t="shared" si="7"/>
        <v>6372.8</v>
      </c>
    </row>
    <row r="164" spans="1:6" ht="15.75" x14ac:dyDescent="0.3">
      <c r="A164" s="5" t="s">
        <v>193</v>
      </c>
      <c r="B164" s="5"/>
      <c r="D164" t="str">
        <f t="shared" si="8"/>
        <v>1988</v>
      </c>
      <c r="E164" t="str">
        <f t="shared" si="6"/>
        <v>3</v>
      </c>
      <c r="F164" t="str">
        <f t="shared" si="7"/>
        <v>6402.0</v>
      </c>
    </row>
    <row r="165" spans="1:6" ht="15.75" x14ac:dyDescent="0.3">
      <c r="A165" s="5" t="s">
        <v>194</v>
      </c>
      <c r="B165" s="5"/>
      <c r="D165" t="str">
        <f t="shared" si="8"/>
        <v>1988</v>
      </c>
      <c r="E165" t="str">
        <f t="shared" si="6"/>
        <v>4</v>
      </c>
      <c r="F165" t="str">
        <f t="shared" si="7"/>
        <v>6487.4</v>
      </c>
    </row>
    <row r="166" spans="1:6" ht="15.75" x14ac:dyDescent="0.3">
      <c r="A166" s="5" t="s">
        <v>195</v>
      </c>
      <c r="B166" s="5"/>
      <c r="D166" t="str">
        <f t="shared" si="8"/>
        <v>1989</v>
      </c>
      <c r="E166" t="str">
        <f t="shared" si="6"/>
        <v>1</v>
      </c>
      <c r="F166" t="str">
        <f t="shared" si="7"/>
        <v>6565.6</v>
      </c>
    </row>
    <row r="167" spans="1:6" ht="15.75" x14ac:dyDescent="0.3">
      <c r="A167" s="5" t="s">
        <v>196</v>
      </c>
      <c r="B167" s="5"/>
      <c r="D167" t="str">
        <f t="shared" si="8"/>
        <v>1989</v>
      </c>
      <c r="E167" t="str">
        <f t="shared" si="6"/>
        <v>2</v>
      </c>
      <c r="F167" t="str">
        <f t="shared" si="7"/>
        <v>6599.7</v>
      </c>
    </row>
    <row r="168" spans="1:6" ht="15.75" x14ac:dyDescent="0.3">
      <c r="A168" s="5" t="s">
        <v>197</v>
      </c>
      <c r="B168" s="5"/>
      <c r="D168" t="str">
        <f t="shared" si="8"/>
        <v>1989</v>
      </c>
      <c r="E168" t="str">
        <f t="shared" si="6"/>
        <v>3</v>
      </c>
      <c r="F168" t="str">
        <f t="shared" si="7"/>
        <v>6633.4</v>
      </c>
    </row>
    <row r="169" spans="1:6" ht="15.75" x14ac:dyDescent="0.3">
      <c r="A169" s="5" t="s">
        <v>198</v>
      </c>
      <c r="B169" s="5"/>
      <c r="D169" t="str">
        <f t="shared" si="8"/>
        <v>1989</v>
      </c>
      <c r="E169" t="str">
        <f t="shared" si="6"/>
        <v>4</v>
      </c>
      <c r="F169" t="str">
        <f t="shared" si="7"/>
        <v>6663.4</v>
      </c>
    </row>
    <row r="170" spans="1:6" ht="15.75" x14ac:dyDescent="0.3">
      <c r="A170" s="5" t="s">
        <v>199</v>
      </c>
      <c r="B170" s="5"/>
      <c r="D170" t="str">
        <f t="shared" si="8"/>
        <v>1990</v>
      </c>
      <c r="E170" t="str">
        <f t="shared" si="6"/>
        <v>1</v>
      </c>
      <c r="F170" t="str">
        <f t="shared" si="7"/>
        <v>6743.6</v>
      </c>
    </row>
    <row r="171" spans="1:6" ht="15.75" x14ac:dyDescent="0.3">
      <c r="A171" s="5" t="s">
        <v>200</v>
      </c>
      <c r="B171" s="5"/>
      <c r="D171" t="str">
        <f t="shared" si="8"/>
        <v>1990</v>
      </c>
      <c r="E171" t="str">
        <f t="shared" si="6"/>
        <v>2</v>
      </c>
      <c r="F171" t="str">
        <f t="shared" si="7"/>
        <v>6760.8</v>
      </c>
    </row>
    <row r="172" spans="1:6" ht="15.75" x14ac:dyDescent="0.3">
      <c r="A172" s="5" t="s">
        <v>201</v>
      </c>
      <c r="B172" s="5"/>
      <c r="D172" t="str">
        <f t="shared" si="8"/>
        <v>1990</v>
      </c>
      <c r="E172" t="str">
        <f t="shared" si="6"/>
        <v>3</v>
      </c>
      <c r="F172" t="str">
        <f t="shared" si="7"/>
        <v>6742.6</v>
      </c>
    </row>
    <row r="173" spans="1:6" ht="15.75" x14ac:dyDescent="0.3">
      <c r="A173" s="5" t="s">
        <v>202</v>
      </c>
      <c r="B173" s="5"/>
      <c r="D173" t="str">
        <f t="shared" si="8"/>
        <v>1990</v>
      </c>
      <c r="E173" t="str">
        <f t="shared" si="6"/>
        <v>4</v>
      </c>
      <c r="F173" t="str">
        <f t="shared" si="7"/>
        <v>6713.3</v>
      </c>
    </row>
    <row r="174" spans="1:6" ht="15.75" x14ac:dyDescent="0.3">
      <c r="A174" s="5" t="s">
        <v>203</v>
      </c>
      <c r="B174" s="5"/>
      <c r="D174" t="str">
        <f t="shared" si="8"/>
        <v>1991</v>
      </c>
      <c r="E174" t="str">
        <f t="shared" si="6"/>
        <v>1</v>
      </c>
      <c r="F174" t="str">
        <f t="shared" si="7"/>
        <v>6667.4</v>
      </c>
    </row>
    <row r="175" spans="1:6" ht="15.75" x14ac:dyDescent="0.3">
      <c r="A175" s="5" t="s">
        <v>204</v>
      </c>
      <c r="B175" s="5"/>
      <c r="D175" t="str">
        <f t="shared" si="8"/>
        <v>1991</v>
      </c>
      <c r="E175" t="str">
        <f t="shared" si="6"/>
        <v>2</v>
      </c>
      <c r="F175" t="str">
        <f t="shared" si="7"/>
        <v>6692.1</v>
      </c>
    </row>
    <row r="176" spans="1:6" ht="15.75" x14ac:dyDescent="0.3">
      <c r="A176" s="5" t="s">
        <v>205</v>
      </c>
      <c r="B176" s="5"/>
      <c r="D176" t="str">
        <f t="shared" si="8"/>
        <v>1991</v>
      </c>
      <c r="E176" t="str">
        <f t="shared" si="6"/>
        <v>3</v>
      </c>
      <c r="F176" t="str">
        <f t="shared" si="7"/>
        <v>6704.7</v>
      </c>
    </row>
    <row r="177" spans="1:6" ht="15.75" x14ac:dyDescent="0.3">
      <c r="A177" s="5" t="s">
        <v>206</v>
      </c>
      <c r="B177" s="5"/>
      <c r="D177" t="str">
        <f t="shared" si="8"/>
        <v>1991</v>
      </c>
      <c r="E177" t="str">
        <f t="shared" si="6"/>
        <v>4</v>
      </c>
      <c r="F177" t="str">
        <f t="shared" si="7"/>
        <v>6749.4</v>
      </c>
    </row>
    <row r="178" spans="1:6" ht="15.75" x14ac:dyDescent="0.3">
      <c r="A178" s="5" t="s">
        <v>207</v>
      </c>
      <c r="B178" s="5"/>
      <c r="D178" t="str">
        <f t="shared" si="8"/>
        <v>1992</v>
      </c>
      <c r="E178" t="str">
        <f t="shared" si="6"/>
        <v>1</v>
      </c>
      <c r="F178" t="str">
        <f t="shared" si="7"/>
        <v>6811.1</v>
      </c>
    </row>
    <row r="179" spans="1:6" ht="15.75" x14ac:dyDescent="0.3">
      <c r="A179" s="5" t="s">
        <v>208</v>
      </c>
      <c r="B179" s="5"/>
      <c r="D179" t="str">
        <f t="shared" si="8"/>
        <v>1992</v>
      </c>
      <c r="E179" t="str">
        <f t="shared" si="6"/>
        <v>2</v>
      </c>
      <c r="F179" t="str">
        <f t="shared" si="7"/>
        <v>6873.8</v>
      </c>
    </row>
    <row r="180" spans="1:6" ht="15.75" x14ac:dyDescent="0.3">
      <c r="A180" s="5" t="s">
        <v>209</v>
      </c>
      <c r="B180" s="5"/>
      <c r="D180" t="str">
        <f t="shared" si="8"/>
        <v>1992</v>
      </c>
      <c r="E180" t="str">
        <f t="shared" si="6"/>
        <v>3</v>
      </c>
      <c r="F180" t="str">
        <f t="shared" si="7"/>
        <v>6923.3</v>
      </c>
    </row>
    <row r="181" spans="1:6" ht="15.75" x14ac:dyDescent="0.3">
      <c r="A181" s="5" t="s">
        <v>210</v>
      </c>
      <c r="B181" s="5"/>
      <c r="D181" t="str">
        <f t="shared" si="8"/>
        <v>1992</v>
      </c>
      <c r="E181" t="str">
        <f t="shared" si="6"/>
        <v>4</v>
      </c>
      <c r="F181" t="str">
        <f t="shared" si="7"/>
        <v>7015.1</v>
      </c>
    </row>
    <row r="182" spans="1:6" ht="15.75" x14ac:dyDescent="0.3">
      <c r="A182" s="5" t="s">
        <v>211</v>
      </c>
      <c r="B182" s="5"/>
      <c r="D182" t="str">
        <f t="shared" si="8"/>
        <v>1993</v>
      </c>
      <c r="E182" t="str">
        <f t="shared" si="6"/>
        <v>1</v>
      </c>
      <c r="F182" t="str">
        <f t="shared" si="7"/>
        <v>7020.9</v>
      </c>
    </row>
    <row r="183" spans="1:6" ht="15.75" x14ac:dyDescent="0.3">
      <c r="A183" s="5" t="s">
        <v>212</v>
      </c>
      <c r="B183" s="5"/>
      <c r="D183" t="str">
        <f t="shared" si="8"/>
        <v>1993</v>
      </c>
      <c r="E183" t="str">
        <f t="shared" si="6"/>
        <v>2</v>
      </c>
      <c r="F183" t="str">
        <f t="shared" si="7"/>
        <v>7056.0</v>
      </c>
    </row>
    <row r="184" spans="1:6" ht="15.75" x14ac:dyDescent="0.3">
      <c r="A184" s="5" t="s">
        <v>213</v>
      </c>
      <c r="B184" s="5"/>
      <c r="D184" t="str">
        <f t="shared" si="8"/>
        <v>1993</v>
      </c>
      <c r="E184" t="str">
        <f t="shared" si="6"/>
        <v>3</v>
      </c>
      <c r="F184" t="str">
        <f t="shared" si="7"/>
        <v>7092.4</v>
      </c>
    </row>
    <row r="185" spans="1:6" ht="15.75" x14ac:dyDescent="0.3">
      <c r="A185" s="5" t="s">
        <v>214</v>
      </c>
      <c r="B185" s="5"/>
      <c r="D185" t="str">
        <f t="shared" si="8"/>
        <v>1993</v>
      </c>
      <c r="E185" t="str">
        <f t="shared" si="6"/>
        <v>4</v>
      </c>
      <c r="F185" t="str">
        <f t="shared" si="7"/>
        <v>7182.1</v>
      </c>
    </row>
    <row r="186" spans="1:6" ht="15.75" x14ac:dyDescent="0.3">
      <c r="A186" s="5" t="s">
        <v>215</v>
      </c>
      <c r="B186" s="5"/>
      <c r="D186" t="str">
        <f t="shared" si="8"/>
        <v>1994</v>
      </c>
      <c r="E186" t="str">
        <f t="shared" si="6"/>
        <v>1</v>
      </c>
      <c r="F186" t="str">
        <f t="shared" si="7"/>
        <v>7249.8</v>
      </c>
    </row>
    <row r="187" spans="1:6" ht="15.75" x14ac:dyDescent="0.3">
      <c r="A187" s="5" t="s">
        <v>216</v>
      </c>
      <c r="B187" s="5"/>
      <c r="D187" t="str">
        <f t="shared" si="8"/>
        <v>1994</v>
      </c>
      <c r="E187" t="str">
        <f t="shared" si="6"/>
        <v>2</v>
      </c>
      <c r="F187" t="str">
        <f t="shared" si="7"/>
        <v>7346.3</v>
      </c>
    </row>
    <row r="188" spans="1:6" ht="15.75" x14ac:dyDescent="0.3">
      <c r="A188" s="5" t="s">
        <v>217</v>
      </c>
      <c r="B188" s="5"/>
      <c r="D188" t="str">
        <f t="shared" si="8"/>
        <v>1994</v>
      </c>
      <c r="E188" t="str">
        <f t="shared" si="6"/>
        <v>3</v>
      </c>
      <c r="F188" t="str">
        <f t="shared" si="7"/>
        <v>7385.1</v>
      </c>
    </row>
    <row r="189" spans="1:6" ht="15.75" x14ac:dyDescent="0.3">
      <c r="A189" s="5" t="s">
        <v>218</v>
      </c>
      <c r="B189" s="5"/>
      <c r="D189" t="str">
        <f t="shared" si="8"/>
        <v>1994</v>
      </c>
      <c r="E189" t="str">
        <f t="shared" si="6"/>
        <v>4</v>
      </c>
      <c r="F189" t="str">
        <f t="shared" si="7"/>
        <v>7476.0</v>
      </c>
    </row>
    <row r="190" spans="1:6" ht="15.75" x14ac:dyDescent="0.3">
      <c r="A190" s="5" t="s">
        <v>219</v>
      </c>
      <c r="B190" s="5"/>
      <c r="D190" t="str">
        <f t="shared" si="8"/>
        <v>1995</v>
      </c>
      <c r="E190" t="str">
        <f t="shared" si="6"/>
        <v>1</v>
      </c>
      <c r="F190" t="str">
        <f t="shared" si="7"/>
        <v>7510.2</v>
      </c>
    </row>
    <row r="191" spans="1:6" ht="15.75" x14ac:dyDescent="0.3">
      <c r="A191" s="5" t="s">
        <v>220</v>
      </c>
      <c r="B191" s="5"/>
      <c r="D191" t="str">
        <f t="shared" si="8"/>
        <v>1995</v>
      </c>
      <c r="E191" t="str">
        <f t="shared" si="6"/>
        <v>2</v>
      </c>
      <c r="F191" t="str">
        <f t="shared" si="7"/>
        <v>7528.6</v>
      </c>
    </row>
    <row r="192" spans="1:6" ht="15.75" x14ac:dyDescent="0.3">
      <c r="A192" s="5" t="s">
        <v>221</v>
      </c>
      <c r="B192" s="5"/>
      <c r="D192" t="str">
        <f t="shared" si="8"/>
        <v>1995</v>
      </c>
      <c r="E192" t="str">
        <f t="shared" si="6"/>
        <v>3</v>
      </c>
      <c r="F192" t="str">
        <f t="shared" si="7"/>
        <v>7572.3</v>
      </c>
    </row>
    <row r="193" spans="1:6" ht="15.75" x14ac:dyDescent="0.3">
      <c r="A193" s="5" t="s">
        <v>222</v>
      </c>
      <c r="B193" s="5"/>
      <c r="D193" t="str">
        <f t="shared" si="8"/>
        <v>1995</v>
      </c>
      <c r="E193" t="str">
        <f t="shared" si="6"/>
        <v>4</v>
      </c>
      <c r="F193" t="str">
        <f t="shared" si="7"/>
        <v>7645.2</v>
      </c>
    </row>
    <row r="194" spans="1:6" ht="15.75" x14ac:dyDescent="0.3">
      <c r="A194" s="5" t="s">
        <v>223</v>
      </c>
      <c r="B194" s="5"/>
      <c r="D194" t="str">
        <f t="shared" si="8"/>
        <v>1996</v>
      </c>
      <c r="E194" t="str">
        <f t="shared" si="6"/>
        <v>1</v>
      </c>
      <c r="F194" t="str">
        <f t="shared" si="7"/>
        <v>7703.1</v>
      </c>
    </row>
    <row r="195" spans="1:6" ht="15.75" x14ac:dyDescent="0.3">
      <c r="A195" s="5" t="s">
        <v>224</v>
      </c>
      <c r="B195" s="5"/>
      <c r="D195" t="str">
        <f t="shared" si="8"/>
        <v>1996</v>
      </c>
      <c r="E195" t="str">
        <f t="shared" si="6"/>
        <v>2</v>
      </c>
      <c r="F195" t="str">
        <f t="shared" si="7"/>
        <v>7820.4</v>
      </c>
    </row>
    <row r="196" spans="1:6" ht="15.75" x14ac:dyDescent="0.3">
      <c r="A196" s="5" t="s">
        <v>225</v>
      </c>
      <c r="B196" s="5"/>
      <c r="D196" t="str">
        <f t="shared" si="8"/>
        <v>1996</v>
      </c>
      <c r="E196" t="str">
        <f t="shared" si="6"/>
        <v>3</v>
      </c>
      <c r="F196" t="str">
        <f t="shared" si="7"/>
        <v>7853.5</v>
      </c>
    </row>
    <row r="197" spans="1:6" ht="15.75" x14ac:dyDescent="0.3">
      <c r="A197" s="5" t="s">
        <v>226</v>
      </c>
      <c r="B197" s="5"/>
      <c r="D197" t="str">
        <f t="shared" si="8"/>
        <v>1996</v>
      </c>
      <c r="E197" t="str">
        <f t="shared" si="6"/>
        <v>4</v>
      </c>
      <c r="F197" t="str">
        <f t="shared" si="7"/>
        <v>7947.9</v>
      </c>
    </row>
    <row r="198" spans="1:6" ht="15.75" x14ac:dyDescent="0.3">
      <c r="A198" s="5" t="s">
        <v>227</v>
      </c>
      <c r="B198" s="5"/>
      <c r="D198" t="str">
        <f t="shared" si="8"/>
        <v>1997</v>
      </c>
      <c r="E198" t="str">
        <f t="shared" si="6"/>
        <v>1</v>
      </c>
      <c r="F198" t="str">
        <f t="shared" si="7"/>
        <v>8025.1</v>
      </c>
    </row>
    <row r="199" spans="1:6" ht="15.75" x14ac:dyDescent="0.3">
      <c r="A199" s="5" t="s">
        <v>228</v>
      </c>
      <c r="B199" s="5"/>
      <c r="D199" t="str">
        <f t="shared" si="8"/>
        <v>1997</v>
      </c>
      <c r="E199" t="str">
        <f t="shared" si="6"/>
        <v>2</v>
      </c>
      <c r="F199" t="str">
        <f t="shared" si="7"/>
        <v>8145.6</v>
      </c>
    </row>
    <row r="200" spans="1:6" ht="15.75" x14ac:dyDescent="0.3">
      <c r="A200" s="5" t="s">
        <v>229</v>
      </c>
      <c r="B200" s="5"/>
      <c r="D200" t="str">
        <f t="shared" si="8"/>
        <v>1997</v>
      </c>
      <c r="E200" t="str">
        <f t="shared" si="6"/>
        <v>3</v>
      </c>
      <c r="F200" t="str">
        <f t="shared" si="7"/>
        <v>8225.1</v>
      </c>
    </row>
    <row r="201" spans="1:6" ht="15.75" x14ac:dyDescent="0.3">
      <c r="A201" s="5" t="s">
        <v>230</v>
      </c>
      <c r="B201" s="5"/>
      <c r="D201" t="str">
        <f t="shared" si="8"/>
        <v>1997</v>
      </c>
      <c r="E201" t="str">
        <f t="shared" si="6"/>
        <v>4</v>
      </c>
      <c r="F201" t="str">
        <f t="shared" si="7"/>
        <v>8276.9</v>
      </c>
    </row>
    <row r="202" spans="1:6" ht="15.75" x14ac:dyDescent="0.3">
      <c r="A202" s="5" t="s">
        <v>231</v>
      </c>
      <c r="B202" s="5"/>
      <c r="D202" t="str">
        <f t="shared" si="8"/>
        <v>1998</v>
      </c>
      <c r="E202" t="str">
        <f t="shared" si="6"/>
        <v>1</v>
      </c>
      <c r="F202" t="str">
        <f t="shared" si="7"/>
        <v>8405.4</v>
      </c>
    </row>
    <row r="203" spans="1:6" ht="15.75" x14ac:dyDescent="0.3">
      <c r="A203" s="5" t="s">
        <v>232</v>
      </c>
      <c r="B203" s="5"/>
      <c r="D203" t="str">
        <f t="shared" si="8"/>
        <v>1998</v>
      </c>
      <c r="E203" t="str">
        <f t="shared" ref="E203:E219" si="9">TEXT(MID(A203, FIND(".", A203) + 1, 1), "0")</f>
        <v>2</v>
      </c>
      <c r="F203" t="str">
        <f t="shared" ref="F203:F219" si="10">TEXT(RIGHT(A203, LEN(A203) - FIND(" ", A203)), "0.0")</f>
        <v>8448.7</v>
      </c>
    </row>
    <row r="204" spans="1:6" ht="15.75" x14ac:dyDescent="0.3">
      <c r="A204" s="5" t="s">
        <v>233</v>
      </c>
      <c r="B204" s="5"/>
      <c r="D204" t="str">
        <f t="shared" ref="D204:D219" si="11">TEXT(LEFT(A204, FIND(".", A204) - 1), "0")</f>
        <v>1998</v>
      </c>
      <c r="E204" t="str">
        <f t="shared" si="9"/>
        <v>3</v>
      </c>
      <c r="F204" t="str">
        <f t="shared" si="10"/>
        <v>8517.6</v>
      </c>
    </row>
    <row r="205" spans="1:6" ht="15.75" x14ac:dyDescent="0.3">
      <c r="A205" s="5" t="s">
        <v>234</v>
      </c>
      <c r="B205" s="5"/>
      <c r="D205" t="str">
        <f t="shared" si="11"/>
        <v>1998</v>
      </c>
      <c r="E205" t="str">
        <f t="shared" si="9"/>
        <v>4</v>
      </c>
      <c r="F205" t="str">
        <f t="shared" si="10"/>
        <v>8662.0</v>
      </c>
    </row>
    <row r="206" spans="1:6" ht="15.75" x14ac:dyDescent="0.3">
      <c r="A206" s="5" t="s">
        <v>235</v>
      </c>
      <c r="B206" s="5"/>
      <c r="D206" t="str">
        <f t="shared" si="11"/>
        <v>1999</v>
      </c>
      <c r="E206" t="str">
        <f t="shared" si="9"/>
        <v>1</v>
      </c>
      <c r="F206" t="str">
        <f t="shared" si="10"/>
        <v>8755.5</v>
      </c>
    </row>
    <row r="207" spans="1:6" ht="15.75" x14ac:dyDescent="0.3">
      <c r="A207" s="5" t="s">
        <v>236</v>
      </c>
      <c r="B207" s="5"/>
      <c r="D207" t="str">
        <f t="shared" si="11"/>
        <v>1999</v>
      </c>
      <c r="E207" t="str">
        <f t="shared" si="9"/>
        <v>2</v>
      </c>
      <c r="F207" t="str">
        <f t="shared" si="10"/>
        <v>8801.8</v>
      </c>
    </row>
    <row r="208" spans="1:6" ht="15.75" x14ac:dyDescent="0.3">
      <c r="A208" s="5" t="s">
        <v>237</v>
      </c>
      <c r="B208" s="5"/>
      <c r="D208" t="str">
        <f t="shared" si="11"/>
        <v>1999</v>
      </c>
      <c r="E208" t="str">
        <f t="shared" si="9"/>
        <v>3</v>
      </c>
      <c r="F208" t="str">
        <f t="shared" si="10"/>
        <v>8906.4</v>
      </c>
    </row>
    <row r="209" spans="1:6" ht="15.75" x14ac:dyDescent="0.3">
      <c r="A209" s="5" t="s">
        <v>238</v>
      </c>
      <c r="B209" s="5"/>
      <c r="D209" t="str">
        <f t="shared" si="11"/>
        <v>1999</v>
      </c>
      <c r="E209" t="str">
        <f t="shared" si="9"/>
        <v>4</v>
      </c>
      <c r="F209" t="str">
        <f t="shared" si="10"/>
        <v>9071.1</v>
      </c>
    </row>
    <row r="210" spans="1:6" ht="15.75" x14ac:dyDescent="0.3">
      <c r="A210" s="5" t="s">
        <v>239</v>
      </c>
      <c r="B210" s="5"/>
      <c r="D210" t="str">
        <f t="shared" si="11"/>
        <v>2000</v>
      </c>
      <c r="E210" t="str">
        <f t="shared" si="9"/>
        <v>1</v>
      </c>
      <c r="F210" t="str">
        <f t="shared" si="10"/>
        <v>9119.7</v>
      </c>
    </row>
    <row r="211" spans="1:6" ht="15.75" x14ac:dyDescent="0.3">
      <c r="A211" s="5" t="s">
        <v>240</v>
      </c>
      <c r="B211" s="5"/>
      <c r="D211" t="str">
        <f t="shared" si="11"/>
        <v>2000</v>
      </c>
      <c r="E211" t="str">
        <f t="shared" si="9"/>
        <v>2</v>
      </c>
      <c r="F211" t="str">
        <f t="shared" si="10"/>
        <v>9233.0</v>
      </c>
    </row>
    <row r="212" spans="1:6" ht="15.75" x14ac:dyDescent="0.3">
      <c r="A212" s="5" t="s">
        <v>241</v>
      </c>
      <c r="B212" s="5"/>
      <c r="D212" t="str">
        <f t="shared" si="11"/>
        <v>2000</v>
      </c>
      <c r="E212" t="str">
        <f t="shared" si="9"/>
        <v>3</v>
      </c>
      <c r="F212" t="str">
        <f t="shared" si="10"/>
        <v>9238.2</v>
      </c>
    </row>
    <row r="213" spans="1:6" ht="15.75" x14ac:dyDescent="0.3">
      <c r="A213" s="5" t="s">
        <v>242</v>
      </c>
      <c r="B213" s="5"/>
      <c r="D213" t="str">
        <f t="shared" si="11"/>
        <v>2000</v>
      </c>
      <c r="E213" t="str">
        <f t="shared" si="9"/>
        <v>4</v>
      </c>
      <c r="F213" t="str">
        <f t="shared" si="10"/>
        <v>9274.0</v>
      </c>
    </row>
    <row r="214" spans="1:6" ht="15.75" x14ac:dyDescent="0.3">
      <c r="A214" s="5" t="s">
        <v>243</v>
      </c>
      <c r="B214" s="5"/>
      <c r="D214" t="str">
        <f t="shared" si="11"/>
        <v>2001</v>
      </c>
      <c r="E214" t="str">
        <f t="shared" si="9"/>
        <v>1</v>
      </c>
      <c r="F214" t="str">
        <f t="shared" si="10"/>
        <v>9241.7</v>
      </c>
    </row>
    <row r="215" spans="1:6" ht="15.75" x14ac:dyDescent="0.3">
      <c r="A215" s="5" t="s">
        <v>244</v>
      </c>
      <c r="B215" s="5"/>
      <c r="D215" t="str">
        <f t="shared" si="11"/>
        <v>2001</v>
      </c>
      <c r="E215" t="str">
        <f t="shared" si="9"/>
        <v>2</v>
      </c>
      <c r="F215" t="str">
        <f t="shared" si="10"/>
        <v>9224.3</v>
      </c>
    </row>
    <row r="216" spans="1:6" ht="15.75" x14ac:dyDescent="0.3">
      <c r="A216" s="5" t="s">
        <v>245</v>
      </c>
      <c r="B216" s="5"/>
      <c r="D216" t="str">
        <f t="shared" si="11"/>
        <v>2001</v>
      </c>
      <c r="E216" t="str">
        <f t="shared" si="9"/>
        <v>3</v>
      </c>
      <c r="F216" t="str">
        <f t="shared" si="10"/>
        <v>9199.8</v>
      </c>
    </row>
    <row r="217" spans="1:6" ht="15.75" x14ac:dyDescent="0.3">
      <c r="A217" s="5" t="s">
        <v>246</v>
      </c>
      <c r="B217" s="5"/>
      <c r="D217" t="str">
        <f t="shared" si="11"/>
        <v>2001</v>
      </c>
      <c r="E217" t="str">
        <f t="shared" si="9"/>
        <v>4</v>
      </c>
      <c r="F217" t="str">
        <f t="shared" si="10"/>
        <v>9283.5</v>
      </c>
    </row>
    <row r="218" spans="1:6" ht="15.75" x14ac:dyDescent="0.3">
      <c r="A218" s="5" t="s">
        <v>247</v>
      </c>
      <c r="B218" s="5"/>
      <c r="D218" t="str">
        <f t="shared" si="11"/>
        <v>2002</v>
      </c>
      <c r="E218" t="str">
        <f t="shared" si="9"/>
        <v>1</v>
      </c>
      <c r="F218" t="str">
        <f t="shared" si="10"/>
        <v>9367.5</v>
      </c>
    </row>
    <row r="219" spans="1:6" ht="15.75" x14ac:dyDescent="0.3">
      <c r="A219" s="5" t="s">
        <v>248</v>
      </c>
      <c r="B219" s="5"/>
      <c r="D219" t="str">
        <f t="shared" si="11"/>
        <v>2002</v>
      </c>
      <c r="E219" t="str">
        <f t="shared" si="9"/>
        <v>2</v>
      </c>
      <c r="F219" t="str">
        <f t="shared" si="10"/>
        <v>9379.0</v>
      </c>
    </row>
  </sheetData>
  <hyperlinks>
    <hyperlink ref="A1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9"/>
  <sheetViews>
    <sheetView workbookViewId="0">
      <selection activeCell="L6" sqref="L6"/>
    </sheetView>
  </sheetViews>
  <sheetFormatPr defaultRowHeight="15" x14ac:dyDescent="0.25"/>
  <cols>
    <col min="2" max="2" width="28.42578125" customWidth="1"/>
  </cols>
  <sheetData>
    <row r="3" spans="2:12" x14ac:dyDescent="0.25">
      <c r="B3" s="7" t="s">
        <v>249</v>
      </c>
    </row>
    <row r="4" spans="2:12" x14ac:dyDescent="0.25">
      <c r="B4" s="7" t="s">
        <v>250</v>
      </c>
    </row>
    <row r="5" spans="2:12" x14ac:dyDescent="0.25">
      <c r="B5" s="7" t="s">
        <v>251</v>
      </c>
      <c r="J5" t="s">
        <v>253</v>
      </c>
      <c r="L5" t="s">
        <v>254</v>
      </c>
    </row>
    <row r="6" spans="2:12" x14ac:dyDescent="0.25">
      <c r="B6" s="7" t="s">
        <v>252</v>
      </c>
      <c r="J6" t="str">
        <f>LEFT(B3, FIND(" ", B3, FIND(" ", B3) + 1) - 1)</f>
        <v>Allie Mcbeal</v>
      </c>
      <c r="L6" t="str">
        <f>MID(B3, FIND(" ", B3, FIND(" ", B3) + 1) + 1, LEN(B3))</f>
        <v>1200 Lawyer Drive</v>
      </c>
    </row>
    <row r="7" spans="2:12" x14ac:dyDescent="0.25">
      <c r="J7" t="str">
        <f t="shared" ref="J7:J9" si="0">LEFT(B4, FIND(" ", B4, FIND(" ", B4) + 1) - 1)</f>
        <v>Drew Carey</v>
      </c>
      <c r="L7" t="str">
        <f t="shared" ref="L7:L9" si="1">MID(B4, FIND(" ", B4, FIND(" ", B4) + 1) + 1, LEN(B4))</f>
        <v>1000 Hollywood Lane</v>
      </c>
    </row>
    <row r="8" spans="2:12" x14ac:dyDescent="0.25">
      <c r="J8" t="str">
        <f t="shared" si="0"/>
        <v>Britney Spears</v>
      </c>
      <c r="L8" t="str">
        <f t="shared" si="1"/>
        <v>300 Singer Road</v>
      </c>
    </row>
    <row r="9" spans="2:12" x14ac:dyDescent="0.25">
      <c r="J9" t="str">
        <f t="shared" si="0"/>
        <v>Peyton Manning</v>
      </c>
      <c r="L9" t="str">
        <f t="shared" si="1"/>
        <v>500 QB Street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activeCell="F1" sqref="F1:F1048576"/>
    </sheetView>
  </sheetViews>
  <sheetFormatPr defaultRowHeight="15" x14ac:dyDescent="0.25"/>
  <cols>
    <col min="1" max="1" width="15.7109375" customWidth="1"/>
  </cols>
  <sheetData>
    <row r="1" spans="1:6" ht="15.75" thickBot="1" x14ac:dyDescent="0.3">
      <c r="A1" s="8" t="s">
        <v>258</v>
      </c>
      <c r="B1" s="6" t="s">
        <v>255</v>
      </c>
      <c r="C1" s="6" t="s">
        <v>256</v>
      </c>
      <c r="D1" s="6" t="s">
        <v>257</v>
      </c>
      <c r="E1" s="9"/>
      <c r="F1" s="10" t="s">
        <v>259</v>
      </c>
    </row>
    <row r="2" spans="1:6" ht="15.75" thickTop="1" x14ac:dyDescent="0.25">
      <c r="A2" s="11" t="s">
        <v>260</v>
      </c>
      <c r="B2" t="str">
        <f>LEFT(A2,FIND("'",A2)-1)</f>
        <v>100</v>
      </c>
      <c r="C2" t="str">
        <f>MID(A2,FIND("-",A2)+1,(LEN(A2)-FIND("-",A2))-F2)</f>
        <v>605</v>
      </c>
      <c r="D2" t="str">
        <f>RIGHT(A2,F2)</f>
        <v>XXl</v>
      </c>
      <c r="F2">
        <f>IF(OR(RIGHT(A2)="S",RIGHT(A2)="M"),1,IF(RIGHT(A2,3)="XXL",3,IF(RIGHT(A2,2)="XL",2,1)))</f>
        <v>3</v>
      </c>
    </row>
    <row r="3" spans="1:6" x14ac:dyDescent="0.25">
      <c r="A3" s="11" t="s">
        <v>261</v>
      </c>
      <c r="B3" t="str">
        <f t="shared" ref="B3:B65" si="0">LEFT(A3,FIND("'",A3)-1)</f>
        <v>100</v>
      </c>
      <c r="C3" t="str">
        <f t="shared" ref="C3:C65" si="1">MID(A3,FIND("-",A3)+1,(LEN(A3)-FIND("-",A3))-F3)</f>
        <v>65</v>
      </c>
      <c r="D3" t="str">
        <f t="shared" ref="D3:D65" si="2">RIGHT(A3,F3)</f>
        <v>XL</v>
      </c>
      <c r="F3">
        <f t="shared" ref="F3:F65" si="3">IF(OR(RIGHT(A3)="S",RIGHT(A3)="M"),1,IF(RIGHT(A3,3)="XXL",3,IF(RIGHT(A3,2)="XL",2,1)))</f>
        <v>2</v>
      </c>
    </row>
    <row r="4" spans="1:6" x14ac:dyDescent="0.25">
      <c r="A4" s="11" t="s">
        <v>262</v>
      </c>
      <c r="B4" t="str">
        <f t="shared" si="0"/>
        <v>100</v>
      </c>
      <c r="C4" t="str">
        <f t="shared" si="1"/>
        <v>65</v>
      </c>
      <c r="D4" t="str">
        <f t="shared" si="2"/>
        <v>XXL</v>
      </c>
      <c r="F4">
        <f t="shared" si="3"/>
        <v>3</v>
      </c>
    </row>
    <row r="5" spans="1:6" x14ac:dyDescent="0.25">
      <c r="A5" s="11" t="s">
        <v>263</v>
      </c>
      <c r="B5" t="str">
        <f t="shared" si="0"/>
        <v>100</v>
      </c>
      <c r="C5" t="str">
        <f t="shared" si="1"/>
        <v>06</v>
      </c>
      <c r="D5" t="str">
        <f t="shared" si="2"/>
        <v>M</v>
      </c>
      <c r="F5">
        <f t="shared" si="3"/>
        <v>1</v>
      </c>
    </row>
    <row r="6" spans="1:6" x14ac:dyDescent="0.25">
      <c r="A6" s="11" t="s">
        <v>264</v>
      </c>
      <c r="B6" t="str">
        <f t="shared" si="0"/>
        <v>100</v>
      </c>
      <c r="C6" t="str">
        <f t="shared" si="1"/>
        <v>06</v>
      </c>
      <c r="D6" t="str">
        <f t="shared" si="2"/>
        <v>L</v>
      </c>
      <c r="F6">
        <f t="shared" si="3"/>
        <v>1</v>
      </c>
    </row>
    <row r="7" spans="1:6" x14ac:dyDescent="0.25">
      <c r="A7" s="11" t="s">
        <v>265</v>
      </c>
      <c r="B7" t="str">
        <f t="shared" si="0"/>
        <v>100</v>
      </c>
      <c r="C7" t="str">
        <f t="shared" si="1"/>
        <v>06</v>
      </c>
      <c r="D7" t="str">
        <f t="shared" si="2"/>
        <v>XL</v>
      </c>
      <c r="F7">
        <f t="shared" si="3"/>
        <v>2</v>
      </c>
    </row>
    <row r="8" spans="1:6" x14ac:dyDescent="0.25">
      <c r="A8" s="11" t="s">
        <v>266</v>
      </c>
      <c r="B8" t="str">
        <f t="shared" si="0"/>
        <v>100</v>
      </c>
      <c r="C8" t="str">
        <f t="shared" si="1"/>
        <v>06</v>
      </c>
      <c r="D8" t="str">
        <f t="shared" si="2"/>
        <v>XXL</v>
      </c>
      <c r="F8">
        <f t="shared" si="3"/>
        <v>3</v>
      </c>
    </row>
    <row r="9" spans="1:6" x14ac:dyDescent="0.25">
      <c r="A9" s="11" t="s">
        <v>267</v>
      </c>
      <c r="B9" t="str">
        <f t="shared" si="0"/>
        <v>100</v>
      </c>
      <c r="C9" t="str">
        <f t="shared" si="1"/>
        <v>05</v>
      </c>
      <c r="D9" t="str">
        <f t="shared" si="2"/>
        <v>M</v>
      </c>
      <c r="F9">
        <f t="shared" si="3"/>
        <v>1</v>
      </c>
    </row>
    <row r="10" spans="1:6" x14ac:dyDescent="0.25">
      <c r="A10" s="11" t="s">
        <v>268</v>
      </c>
      <c r="B10" t="str">
        <f t="shared" si="0"/>
        <v>100</v>
      </c>
      <c r="C10" t="str">
        <f t="shared" si="1"/>
        <v>05</v>
      </c>
      <c r="D10" t="str">
        <f t="shared" si="2"/>
        <v>L</v>
      </c>
      <c r="F10">
        <f t="shared" si="3"/>
        <v>1</v>
      </c>
    </row>
    <row r="11" spans="1:6" x14ac:dyDescent="0.25">
      <c r="A11" s="11" t="s">
        <v>269</v>
      </c>
      <c r="B11" t="str">
        <f t="shared" si="0"/>
        <v>100</v>
      </c>
      <c r="C11" t="str">
        <f t="shared" si="1"/>
        <v>05</v>
      </c>
      <c r="D11" t="str">
        <f t="shared" si="2"/>
        <v>XL</v>
      </c>
      <c r="F11">
        <f t="shared" si="3"/>
        <v>2</v>
      </c>
    </row>
    <row r="12" spans="1:6" x14ac:dyDescent="0.25">
      <c r="A12" s="11" t="s">
        <v>270</v>
      </c>
      <c r="B12" t="str">
        <f t="shared" si="0"/>
        <v>100</v>
      </c>
      <c r="C12" t="str">
        <f t="shared" si="1"/>
        <v>05</v>
      </c>
      <c r="D12" t="str">
        <f t="shared" si="2"/>
        <v>XXL</v>
      </c>
      <c r="F12">
        <f t="shared" si="3"/>
        <v>3</v>
      </c>
    </row>
    <row r="13" spans="1:6" x14ac:dyDescent="0.25">
      <c r="A13" s="11" t="s">
        <v>271</v>
      </c>
      <c r="B13" t="str">
        <f t="shared" si="0"/>
        <v>100</v>
      </c>
      <c r="C13" t="str">
        <f t="shared" si="1"/>
        <v>04</v>
      </c>
      <c r="D13" t="str">
        <f t="shared" si="2"/>
        <v>S</v>
      </c>
      <c r="F13">
        <f t="shared" si="3"/>
        <v>1</v>
      </c>
    </row>
    <row r="14" spans="1:6" x14ac:dyDescent="0.25">
      <c r="A14" s="11" t="s">
        <v>272</v>
      </c>
      <c r="B14" t="str">
        <f t="shared" si="0"/>
        <v>100</v>
      </c>
      <c r="C14" t="str">
        <f t="shared" si="1"/>
        <v>04</v>
      </c>
      <c r="D14" t="str">
        <f t="shared" si="2"/>
        <v>M</v>
      </c>
      <c r="F14">
        <f t="shared" si="3"/>
        <v>1</v>
      </c>
    </row>
    <row r="15" spans="1:6" x14ac:dyDescent="0.25">
      <c r="A15" s="11" t="s">
        <v>273</v>
      </c>
      <c r="B15" t="str">
        <f t="shared" si="0"/>
        <v>100</v>
      </c>
      <c r="C15" t="str">
        <f t="shared" si="1"/>
        <v>04</v>
      </c>
      <c r="D15" t="str">
        <f t="shared" si="2"/>
        <v>L</v>
      </c>
      <c r="F15">
        <f t="shared" si="3"/>
        <v>1</v>
      </c>
    </row>
    <row r="16" spans="1:6" x14ac:dyDescent="0.25">
      <c r="A16" s="11" t="s">
        <v>274</v>
      </c>
      <c r="B16" t="str">
        <f t="shared" si="0"/>
        <v>100</v>
      </c>
      <c r="C16" t="str">
        <f t="shared" si="1"/>
        <v>04</v>
      </c>
      <c r="D16" t="str">
        <f t="shared" si="2"/>
        <v>XL</v>
      </c>
      <c r="F16">
        <f t="shared" si="3"/>
        <v>2</v>
      </c>
    </row>
    <row r="17" spans="1:6" x14ac:dyDescent="0.25">
      <c r="A17" s="11" t="s">
        <v>275</v>
      </c>
      <c r="B17" t="str">
        <f t="shared" si="0"/>
        <v>100</v>
      </c>
      <c r="C17" t="str">
        <f t="shared" si="1"/>
        <v>04</v>
      </c>
      <c r="D17" t="str">
        <f t="shared" si="2"/>
        <v>XXL</v>
      </c>
      <c r="F17">
        <f t="shared" si="3"/>
        <v>3</v>
      </c>
    </row>
    <row r="18" spans="1:6" x14ac:dyDescent="0.25">
      <c r="A18" s="11" t="s">
        <v>276</v>
      </c>
      <c r="B18" t="str">
        <f t="shared" si="0"/>
        <v>100</v>
      </c>
      <c r="C18" t="str">
        <f t="shared" si="1"/>
        <v>02</v>
      </c>
      <c r="D18" t="str">
        <f t="shared" si="2"/>
        <v>S</v>
      </c>
      <c r="F18">
        <f t="shared" si="3"/>
        <v>1</v>
      </c>
    </row>
    <row r="19" spans="1:6" x14ac:dyDescent="0.25">
      <c r="A19" s="11" t="s">
        <v>277</v>
      </c>
      <c r="B19" t="str">
        <f t="shared" si="0"/>
        <v>100</v>
      </c>
      <c r="C19" t="str">
        <f t="shared" si="1"/>
        <v>02</v>
      </c>
      <c r="D19" t="str">
        <f t="shared" si="2"/>
        <v>M</v>
      </c>
      <c r="F19">
        <f t="shared" si="3"/>
        <v>1</v>
      </c>
    </row>
    <row r="20" spans="1:6" x14ac:dyDescent="0.25">
      <c r="A20" s="11" t="s">
        <v>278</v>
      </c>
      <c r="B20" t="str">
        <f t="shared" si="0"/>
        <v>100</v>
      </c>
      <c r="C20" t="str">
        <f t="shared" si="1"/>
        <v>02</v>
      </c>
      <c r="D20" t="str">
        <f t="shared" si="2"/>
        <v>L</v>
      </c>
      <c r="F20">
        <f t="shared" si="3"/>
        <v>1</v>
      </c>
    </row>
    <row r="21" spans="1:6" x14ac:dyDescent="0.25">
      <c r="A21" s="11" t="s">
        <v>279</v>
      </c>
      <c r="B21" t="str">
        <f t="shared" si="0"/>
        <v>100</v>
      </c>
      <c r="C21" t="str">
        <f t="shared" si="1"/>
        <v>02</v>
      </c>
      <c r="D21" t="str">
        <f t="shared" si="2"/>
        <v>XL</v>
      </c>
      <c r="F21">
        <f t="shared" si="3"/>
        <v>2</v>
      </c>
    </row>
    <row r="22" spans="1:6" x14ac:dyDescent="0.25">
      <c r="A22" s="11" t="s">
        <v>280</v>
      </c>
      <c r="B22" t="str">
        <f t="shared" si="0"/>
        <v>100</v>
      </c>
      <c r="C22" t="str">
        <f t="shared" si="1"/>
        <v>02</v>
      </c>
      <c r="D22" t="str">
        <f t="shared" si="2"/>
        <v>XXL</v>
      </c>
      <c r="F22">
        <f t="shared" si="3"/>
        <v>3</v>
      </c>
    </row>
    <row r="23" spans="1:6" x14ac:dyDescent="0.25">
      <c r="A23" s="11" t="s">
        <v>281</v>
      </c>
      <c r="B23" t="str">
        <f t="shared" si="0"/>
        <v>100</v>
      </c>
      <c r="C23" t="str">
        <f t="shared" si="1"/>
        <v>01</v>
      </c>
      <c r="D23" t="str">
        <f t="shared" si="2"/>
        <v>S</v>
      </c>
      <c r="F23">
        <f t="shared" si="3"/>
        <v>1</v>
      </c>
    </row>
    <row r="24" spans="1:6" x14ac:dyDescent="0.25">
      <c r="A24" s="11" t="s">
        <v>282</v>
      </c>
      <c r="B24" t="str">
        <f t="shared" si="0"/>
        <v>100</v>
      </c>
      <c r="C24" t="str">
        <f t="shared" si="1"/>
        <v>01</v>
      </c>
      <c r="D24" t="str">
        <f t="shared" si="2"/>
        <v>M</v>
      </c>
      <c r="F24">
        <f t="shared" si="3"/>
        <v>1</v>
      </c>
    </row>
    <row r="25" spans="1:6" x14ac:dyDescent="0.25">
      <c r="A25" s="11" t="s">
        <v>283</v>
      </c>
      <c r="B25" t="str">
        <f t="shared" si="0"/>
        <v>100</v>
      </c>
      <c r="C25" t="str">
        <f t="shared" si="1"/>
        <v>01</v>
      </c>
      <c r="D25" t="str">
        <f t="shared" si="2"/>
        <v>L</v>
      </c>
      <c r="F25">
        <f t="shared" si="3"/>
        <v>1</v>
      </c>
    </row>
    <row r="26" spans="1:6" x14ac:dyDescent="0.25">
      <c r="A26" s="11" t="s">
        <v>284</v>
      </c>
      <c r="B26" t="str">
        <f t="shared" si="0"/>
        <v>100</v>
      </c>
      <c r="C26" t="str">
        <f t="shared" si="1"/>
        <v>01</v>
      </c>
      <c r="D26" t="str">
        <f t="shared" si="2"/>
        <v>XL</v>
      </c>
      <c r="F26">
        <f t="shared" si="3"/>
        <v>2</v>
      </c>
    </row>
    <row r="27" spans="1:6" x14ac:dyDescent="0.25">
      <c r="A27" s="11" t="s">
        <v>285</v>
      </c>
      <c r="B27" t="str">
        <f t="shared" si="0"/>
        <v>100</v>
      </c>
      <c r="C27" t="str">
        <f t="shared" si="1"/>
        <v>01</v>
      </c>
      <c r="D27" t="str">
        <f t="shared" si="2"/>
        <v>XXL</v>
      </c>
      <c r="F27">
        <f t="shared" si="3"/>
        <v>3</v>
      </c>
    </row>
    <row r="28" spans="1:6" x14ac:dyDescent="0.25">
      <c r="A28" s="11" t="s">
        <v>286</v>
      </c>
      <c r="B28" t="str">
        <f t="shared" si="0"/>
        <v>100</v>
      </c>
      <c r="C28" t="str">
        <f t="shared" si="1"/>
        <v>25</v>
      </c>
      <c r="D28" t="str">
        <f t="shared" si="2"/>
        <v>M</v>
      </c>
      <c r="F28">
        <f t="shared" si="3"/>
        <v>1</v>
      </c>
    </row>
    <row r="29" spans="1:6" x14ac:dyDescent="0.25">
      <c r="A29" s="11" t="s">
        <v>287</v>
      </c>
      <c r="B29" t="str">
        <f t="shared" si="0"/>
        <v>100</v>
      </c>
      <c r="C29" t="str">
        <f t="shared" si="1"/>
        <v>25</v>
      </c>
      <c r="D29" t="str">
        <f t="shared" si="2"/>
        <v>L</v>
      </c>
      <c r="F29">
        <f t="shared" si="3"/>
        <v>1</v>
      </c>
    </row>
    <row r="30" spans="1:6" x14ac:dyDescent="0.25">
      <c r="A30" s="11" t="s">
        <v>288</v>
      </c>
      <c r="B30" t="str">
        <f t="shared" si="0"/>
        <v>100</v>
      </c>
      <c r="C30" t="str">
        <f t="shared" si="1"/>
        <v>25</v>
      </c>
      <c r="D30" t="str">
        <f t="shared" si="2"/>
        <v>XL</v>
      </c>
      <c r="F30">
        <f t="shared" si="3"/>
        <v>2</v>
      </c>
    </row>
    <row r="31" spans="1:6" x14ac:dyDescent="0.25">
      <c r="A31" s="11" t="s">
        <v>289</v>
      </c>
      <c r="B31" t="str">
        <f t="shared" si="0"/>
        <v>100</v>
      </c>
      <c r="C31" t="str">
        <f t="shared" si="1"/>
        <v>25</v>
      </c>
      <c r="D31" t="str">
        <f t="shared" si="2"/>
        <v>XXL</v>
      </c>
      <c r="F31">
        <f t="shared" si="3"/>
        <v>3</v>
      </c>
    </row>
    <row r="32" spans="1:6" x14ac:dyDescent="0.25">
      <c r="A32" s="11" t="s">
        <v>290</v>
      </c>
      <c r="B32" t="str">
        <f t="shared" si="0"/>
        <v>100</v>
      </c>
      <c r="C32" t="str">
        <f t="shared" si="1"/>
        <v>11</v>
      </c>
      <c r="D32" t="str">
        <f t="shared" si="2"/>
        <v>M</v>
      </c>
      <c r="F32">
        <f t="shared" si="3"/>
        <v>1</v>
      </c>
    </row>
    <row r="33" spans="1:6" x14ac:dyDescent="0.25">
      <c r="A33" s="11" t="s">
        <v>291</v>
      </c>
      <c r="B33" t="str">
        <f t="shared" si="0"/>
        <v>100</v>
      </c>
      <c r="C33" t="str">
        <f t="shared" si="1"/>
        <v>11</v>
      </c>
      <c r="D33" t="str">
        <f t="shared" si="2"/>
        <v>L</v>
      </c>
      <c r="F33">
        <f t="shared" si="3"/>
        <v>1</v>
      </c>
    </row>
    <row r="34" spans="1:6" x14ac:dyDescent="0.25">
      <c r="A34" s="11" t="s">
        <v>292</v>
      </c>
      <c r="B34" t="str">
        <f t="shared" si="0"/>
        <v>100</v>
      </c>
      <c r="C34" t="str">
        <f t="shared" si="1"/>
        <v>11</v>
      </c>
      <c r="D34" t="str">
        <f t="shared" si="2"/>
        <v>XL</v>
      </c>
      <c r="F34">
        <f t="shared" si="3"/>
        <v>2</v>
      </c>
    </row>
    <row r="35" spans="1:6" x14ac:dyDescent="0.25">
      <c r="A35" s="11" t="s">
        <v>293</v>
      </c>
      <c r="B35" t="str">
        <f t="shared" si="0"/>
        <v>100</v>
      </c>
      <c r="C35" t="str">
        <f t="shared" si="1"/>
        <v>11</v>
      </c>
      <c r="D35" t="str">
        <f t="shared" si="2"/>
        <v>XXL</v>
      </c>
      <c r="F35">
        <f t="shared" si="3"/>
        <v>3</v>
      </c>
    </row>
    <row r="36" spans="1:6" x14ac:dyDescent="0.25">
      <c r="A36" s="11" t="s">
        <v>294</v>
      </c>
      <c r="B36" t="str">
        <f t="shared" si="0"/>
        <v>125</v>
      </c>
      <c r="C36" t="str">
        <f t="shared" si="1"/>
        <v>06</v>
      </c>
      <c r="D36" t="str">
        <f t="shared" si="2"/>
        <v>M</v>
      </c>
      <c r="F36">
        <f t="shared" si="3"/>
        <v>1</v>
      </c>
    </row>
    <row r="37" spans="1:6" x14ac:dyDescent="0.25">
      <c r="A37" s="11" t="s">
        <v>295</v>
      </c>
      <c r="B37" t="str">
        <f t="shared" si="0"/>
        <v>125</v>
      </c>
      <c r="C37" t="str">
        <f t="shared" si="1"/>
        <v>06</v>
      </c>
      <c r="D37" t="str">
        <f t="shared" si="2"/>
        <v>L</v>
      </c>
      <c r="F37">
        <f t="shared" si="3"/>
        <v>1</v>
      </c>
    </row>
    <row r="38" spans="1:6" x14ac:dyDescent="0.25">
      <c r="A38" s="11" t="s">
        <v>296</v>
      </c>
      <c r="B38" t="str">
        <f t="shared" si="0"/>
        <v>125</v>
      </c>
      <c r="C38" t="str">
        <f t="shared" si="1"/>
        <v>06</v>
      </c>
      <c r="D38" t="str">
        <f t="shared" si="2"/>
        <v>XL</v>
      </c>
      <c r="F38">
        <f t="shared" si="3"/>
        <v>2</v>
      </c>
    </row>
    <row r="39" spans="1:6" x14ac:dyDescent="0.25">
      <c r="A39" s="11" t="s">
        <v>297</v>
      </c>
      <c r="B39" t="str">
        <f t="shared" si="0"/>
        <v>125</v>
      </c>
      <c r="C39" t="str">
        <f t="shared" si="1"/>
        <v>06</v>
      </c>
      <c r="D39" t="str">
        <f t="shared" si="2"/>
        <v>XXL</v>
      </c>
      <c r="F39">
        <f t="shared" si="3"/>
        <v>3</v>
      </c>
    </row>
    <row r="40" spans="1:6" x14ac:dyDescent="0.25">
      <c r="A40" s="11" t="s">
        <v>298</v>
      </c>
      <c r="B40" t="str">
        <f t="shared" si="0"/>
        <v>125</v>
      </c>
      <c r="C40" t="str">
        <f t="shared" si="1"/>
        <v>05</v>
      </c>
      <c r="D40" t="str">
        <f t="shared" si="2"/>
        <v>M</v>
      </c>
      <c r="F40">
        <f t="shared" si="3"/>
        <v>1</v>
      </c>
    </row>
    <row r="41" spans="1:6" x14ac:dyDescent="0.25">
      <c r="A41" s="11" t="s">
        <v>299</v>
      </c>
      <c r="B41" t="str">
        <f t="shared" si="0"/>
        <v>125</v>
      </c>
      <c r="C41" t="str">
        <f t="shared" si="1"/>
        <v>05</v>
      </c>
      <c r="D41" t="str">
        <f t="shared" si="2"/>
        <v>L</v>
      </c>
      <c r="F41">
        <f t="shared" si="3"/>
        <v>1</v>
      </c>
    </row>
    <row r="42" spans="1:6" x14ac:dyDescent="0.25">
      <c r="A42" s="11" t="s">
        <v>300</v>
      </c>
      <c r="B42" t="str">
        <f t="shared" si="0"/>
        <v>125</v>
      </c>
      <c r="C42" t="str">
        <f t="shared" si="1"/>
        <v>05</v>
      </c>
      <c r="D42" t="str">
        <f t="shared" si="2"/>
        <v>XL</v>
      </c>
      <c r="F42">
        <f t="shared" si="3"/>
        <v>2</v>
      </c>
    </row>
    <row r="43" spans="1:6" x14ac:dyDescent="0.25">
      <c r="A43" s="11" t="s">
        <v>301</v>
      </c>
      <c r="B43" t="str">
        <f t="shared" si="0"/>
        <v>125</v>
      </c>
      <c r="C43" t="str">
        <f t="shared" si="1"/>
        <v>05</v>
      </c>
      <c r="D43" t="str">
        <f t="shared" si="2"/>
        <v>XXL</v>
      </c>
      <c r="F43">
        <f t="shared" si="3"/>
        <v>3</v>
      </c>
    </row>
    <row r="44" spans="1:6" x14ac:dyDescent="0.25">
      <c r="A44" s="11" t="s">
        <v>302</v>
      </c>
      <c r="B44" t="str">
        <f t="shared" si="0"/>
        <v>125</v>
      </c>
      <c r="C44" t="str">
        <f t="shared" si="1"/>
        <v>04</v>
      </c>
      <c r="D44" t="str">
        <f t="shared" si="2"/>
        <v>M</v>
      </c>
      <c r="F44">
        <f t="shared" si="3"/>
        <v>1</v>
      </c>
    </row>
    <row r="45" spans="1:6" x14ac:dyDescent="0.25">
      <c r="A45" s="11" t="s">
        <v>303</v>
      </c>
      <c r="B45" t="str">
        <f t="shared" si="0"/>
        <v>125</v>
      </c>
      <c r="C45" t="str">
        <f t="shared" si="1"/>
        <v>04</v>
      </c>
      <c r="D45" t="str">
        <f t="shared" si="2"/>
        <v>L</v>
      </c>
      <c r="F45">
        <f t="shared" si="3"/>
        <v>1</v>
      </c>
    </row>
    <row r="46" spans="1:6" x14ac:dyDescent="0.25">
      <c r="A46" s="11" t="s">
        <v>304</v>
      </c>
      <c r="B46" t="str">
        <f t="shared" si="0"/>
        <v>125</v>
      </c>
      <c r="C46" t="str">
        <f t="shared" si="1"/>
        <v>04</v>
      </c>
      <c r="D46" t="str">
        <f t="shared" si="2"/>
        <v>XL</v>
      </c>
      <c r="F46">
        <f t="shared" si="3"/>
        <v>2</v>
      </c>
    </row>
    <row r="47" spans="1:6" x14ac:dyDescent="0.25">
      <c r="A47" s="11" t="s">
        <v>305</v>
      </c>
      <c r="B47" t="str">
        <f t="shared" si="0"/>
        <v>125</v>
      </c>
      <c r="C47" t="str">
        <f t="shared" si="1"/>
        <v>04</v>
      </c>
      <c r="D47" t="str">
        <f t="shared" si="2"/>
        <v>XXL</v>
      </c>
      <c r="F47">
        <f t="shared" si="3"/>
        <v>3</v>
      </c>
    </row>
    <row r="48" spans="1:6" x14ac:dyDescent="0.25">
      <c r="A48" s="11" t="s">
        <v>306</v>
      </c>
      <c r="B48" t="str">
        <f t="shared" si="0"/>
        <v>125</v>
      </c>
      <c r="C48" t="str">
        <f t="shared" si="1"/>
        <v>02</v>
      </c>
      <c r="D48" t="str">
        <f t="shared" si="2"/>
        <v>S</v>
      </c>
      <c r="F48">
        <f t="shared" si="3"/>
        <v>1</v>
      </c>
    </row>
    <row r="49" spans="1:6" x14ac:dyDescent="0.25">
      <c r="A49" s="11" t="s">
        <v>307</v>
      </c>
      <c r="B49" t="str">
        <f t="shared" si="0"/>
        <v>125</v>
      </c>
      <c r="C49" t="str">
        <f t="shared" si="1"/>
        <v>02</v>
      </c>
      <c r="D49" t="str">
        <f t="shared" si="2"/>
        <v>M</v>
      </c>
      <c r="F49">
        <f t="shared" si="3"/>
        <v>1</v>
      </c>
    </row>
    <row r="50" spans="1:6" x14ac:dyDescent="0.25">
      <c r="A50" s="11" t="s">
        <v>308</v>
      </c>
      <c r="B50" t="str">
        <f t="shared" si="0"/>
        <v>125</v>
      </c>
      <c r="C50" t="str">
        <f t="shared" si="1"/>
        <v>02</v>
      </c>
      <c r="D50" t="str">
        <f t="shared" si="2"/>
        <v>L</v>
      </c>
      <c r="F50">
        <f t="shared" si="3"/>
        <v>1</v>
      </c>
    </row>
    <row r="51" spans="1:6" x14ac:dyDescent="0.25">
      <c r="A51" s="11" t="s">
        <v>309</v>
      </c>
      <c r="B51" t="str">
        <f t="shared" si="0"/>
        <v>125</v>
      </c>
      <c r="C51" t="str">
        <f t="shared" si="1"/>
        <v>02</v>
      </c>
      <c r="D51" t="str">
        <f t="shared" si="2"/>
        <v>XL</v>
      </c>
      <c r="F51">
        <f t="shared" si="3"/>
        <v>2</v>
      </c>
    </row>
    <row r="52" spans="1:6" x14ac:dyDescent="0.25">
      <c r="A52" s="11" t="s">
        <v>310</v>
      </c>
      <c r="B52" t="str">
        <f t="shared" si="0"/>
        <v>125</v>
      </c>
      <c r="C52" t="str">
        <f t="shared" si="1"/>
        <v>02</v>
      </c>
      <c r="D52" t="str">
        <f t="shared" si="2"/>
        <v>XXL</v>
      </c>
      <c r="F52">
        <f t="shared" si="3"/>
        <v>3</v>
      </c>
    </row>
    <row r="53" spans="1:6" x14ac:dyDescent="0.25">
      <c r="A53" s="11" t="s">
        <v>311</v>
      </c>
      <c r="B53" t="str">
        <f t="shared" si="0"/>
        <v>125</v>
      </c>
      <c r="C53" t="str">
        <f t="shared" si="1"/>
        <v>25</v>
      </c>
      <c r="D53" t="str">
        <f t="shared" si="2"/>
        <v>S</v>
      </c>
      <c r="F53">
        <f t="shared" si="3"/>
        <v>1</v>
      </c>
    </row>
    <row r="54" spans="1:6" x14ac:dyDescent="0.25">
      <c r="A54" s="11" t="s">
        <v>312</v>
      </c>
      <c r="B54" t="str">
        <f t="shared" si="0"/>
        <v>125</v>
      </c>
      <c r="C54" t="str">
        <f t="shared" si="1"/>
        <v>25</v>
      </c>
      <c r="D54" t="str">
        <f t="shared" si="2"/>
        <v>M</v>
      </c>
      <c r="F54">
        <f t="shared" si="3"/>
        <v>1</v>
      </c>
    </row>
    <row r="55" spans="1:6" x14ac:dyDescent="0.25">
      <c r="A55" s="11" t="s">
        <v>313</v>
      </c>
      <c r="B55" t="str">
        <f t="shared" si="0"/>
        <v>125</v>
      </c>
      <c r="C55" t="str">
        <f t="shared" si="1"/>
        <v>25</v>
      </c>
      <c r="D55" t="str">
        <f t="shared" si="2"/>
        <v>L</v>
      </c>
      <c r="F55">
        <f t="shared" si="3"/>
        <v>1</v>
      </c>
    </row>
    <row r="56" spans="1:6" x14ac:dyDescent="0.25">
      <c r="A56" s="11" t="s">
        <v>314</v>
      </c>
      <c r="B56" t="str">
        <f t="shared" si="0"/>
        <v>125</v>
      </c>
      <c r="C56" t="str">
        <f t="shared" si="1"/>
        <v>25</v>
      </c>
      <c r="D56" t="str">
        <f t="shared" si="2"/>
        <v>XL</v>
      </c>
      <c r="F56">
        <f t="shared" si="3"/>
        <v>2</v>
      </c>
    </row>
    <row r="57" spans="1:6" x14ac:dyDescent="0.25">
      <c r="A57" s="11" t="s">
        <v>315</v>
      </c>
      <c r="B57" t="str">
        <f t="shared" si="0"/>
        <v>125</v>
      </c>
      <c r="C57" t="str">
        <f t="shared" si="1"/>
        <v>11</v>
      </c>
      <c r="D57" t="str">
        <f t="shared" si="2"/>
        <v>M</v>
      </c>
      <c r="F57">
        <f t="shared" si="3"/>
        <v>1</v>
      </c>
    </row>
    <row r="58" spans="1:6" x14ac:dyDescent="0.25">
      <c r="A58" s="11" t="s">
        <v>316</v>
      </c>
      <c r="B58" t="str">
        <f t="shared" si="0"/>
        <v>125</v>
      </c>
      <c r="C58" t="str">
        <f t="shared" si="1"/>
        <v>11</v>
      </c>
      <c r="D58" t="str">
        <f t="shared" si="2"/>
        <v>L</v>
      </c>
      <c r="F58">
        <f t="shared" si="3"/>
        <v>1</v>
      </c>
    </row>
    <row r="59" spans="1:6" x14ac:dyDescent="0.25">
      <c r="A59" s="11" t="s">
        <v>317</v>
      </c>
      <c r="B59" t="str">
        <f t="shared" si="0"/>
        <v>125</v>
      </c>
      <c r="C59" t="str">
        <f t="shared" si="1"/>
        <v>11</v>
      </c>
      <c r="D59" t="str">
        <f t="shared" si="2"/>
        <v>XL</v>
      </c>
      <c r="F59">
        <f t="shared" si="3"/>
        <v>2</v>
      </c>
    </row>
    <row r="60" spans="1:6" x14ac:dyDescent="0.25">
      <c r="A60" s="11" t="s">
        <v>318</v>
      </c>
      <c r="B60" t="str">
        <f t="shared" si="0"/>
        <v>125</v>
      </c>
      <c r="C60" t="str">
        <f t="shared" si="1"/>
        <v>11</v>
      </c>
      <c r="D60" t="str">
        <f t="shared" si="2"/>
        <v>XXL</v>
      </c>
      <c r="F60">
        <f t="shared" si="3"/>
        <v>3</v>
      </c>
    </row>
    <row r="61" spans="1:6" x14ac:dyDescent="0.25">
      <c r="A61" s="11" t="s">
        <v>319</v>
      </c>
      <c r="B61" t="str">
        <f t="shared" si="0"/>
        <v>125</v>
      </c>
      <c r="C61" t="str">
        <f t="shared" si="1"/>
        <v>01</v>
      </c>
      <c r="D61" t="str">
        <f t="shared" si="2"/>
        <v>S</v>
      </c>
      <c r="F61">
        <f t="shared" si="3"/>
        <v>1</v>
      </c>
    </row>
    <row r="62" spans="1:6" x14ac:dyDescent="0.25">
      <c r="A62" s="11" t="s">
        <v>320</v>
      </c>
      <c r="B62" t="str">
        <f t="shared" si="0"/>
        <v>125</v>
      </c>
      <c r="C62" t="str">
        <f t="shared" si="1"/>
        <v>01</v>
      </c>
      <c r="D62" t="str">
        <f t="shared" si="2"/>
        <v>M</v>
      </c>
      <c r="F62">
        <f t="shared" si="3"/>
        <v>1</v>
      </c>
    </row>
    <row r="63" spans="1:6" x14ac:dyDescent="0.25">
      <c r="A63" s="11" t="s">
        <v>321</v>
      </c>
      <c r="B63" t="str">
        <f t="shared" si="0"/>
        <v>125</v>
      </c>
      <c r="C63" t="str">
        <f t="shared" si="1"/>
        <v>01</v>
      </c>
      <c r="D63" t="str">
        <f t="shared" si="2"/>
        <v>L</v>
      </c>
      <c r="F63">
        <f t="shared" si="3"/>
        <v>1</v>
      </c>
    </row>
    <row r="64" spans="1:6" x14ac:dyDescent="0.25">
      <c r="A64" s="11" t="s">
        <v>322</v>
      </c>
      <c r="B64" t="str">
        <f t="shared" si="0"/>
        <v>125</v>
      </c>
      <c r="C64" t="str">
        <f t="shared" si="1"/>
        <v>01</v>
      </c>
      <c r="D64" t="str">
        <f t="shared" si="2"/>
        <v>XL</v>
      </c>
      <c r="F64">
        <f t="shared" si="3"/>
        <v>2</v>
      </c>
    </row>
    <row r="65" spans="1:6" x14ac:dyDescent="0.25">
      <c r="A65" s="11" t="s">
        <v>323</v>
      </c>
      <c r="B65" t="str">
        <f t="shared" si="0"/>
        <v>125</v>
      </c>
      <c r="C65" t="str">
        <f t="shared" si="1"/>
        <v>01</v>
      </c>
      <c r="D65" t="str">
        <f t="shared" si="2"/>
        <v>XXL</v>
      </c>
      <c r="F65">
        <f t="shared" si="3"/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DF3042-8806-4AFC-8C3A-5A2CAAA2091A}">
  <ds:schemaRefs>
    <ds:schemaRef ds:uri="http://schemas.microsoft.com/office/2006/documentManagement/types"/>
    <ds:schemaRef ds:uri="d1607db4-bd3f-4f82-a312-bf7e283d0a6b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84FAC-7274-4C9B-B53A-2F3B9A8FD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E2B14B0-651E-4199-9F5A-666BB29B0F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Email Problem solution </vt:lpstr>
      <vt:lpstr>ID Price </vt:lpstr>
      <vt:lpstr>QuatrlyGnpdata solution</vt:lpstr>
      <vt:lpstr>Showbiz solution</vt:lpstr>
      <vt:lpstr>TextTile data solution 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Lenovo</cp:lastModifiedBy>
  <dcterms:created xsi:type="dcterms:W3CDTF">2006-07-13T13:46:11Z</dcterms:created>
  <dcterms:modified xsi:type="dcterms:W3CDTF">2024-09-10T18:52:55Z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