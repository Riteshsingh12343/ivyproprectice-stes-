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VY pro school\Excel\Assignment\Lookup Assignment\"/>
    </mc:Choice>
  </mc:AlternateContent>
  <xr:revisionPtr revIDLastSave="0" documentId="13_ncr:1_{F936A84A-7C17-4884-8D7B-32CDF20BF64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Assign" sheetId="2" r:id="rId2"/>
    <sheet name="City data" sheetId="3" r:id="rId3"/>
    <sheet name="Hr" sheetId="4" r:id="rId4"/>
    <sheet name="Salary" sheetId="5" r:id="rId5"/>
    <sheet name="Age" sheetId="6" r:id="rId6"/>
    <sheet name="Exp" sheetId="7" r:id="rId7"/>
    <sheet name="Total" sheetId="8" r:id="rId8"/>
  </sheets>
  <definedNames>
    <definedName name="lookage">Age!$D$10:$E$19</definedName>
    <definedName name="lookexp">Exp!$F$8:$G$17</definedName>
    <definedName name="looksal">Salary!$E$7:$F$16</definedName>
    <definedName name="lookup">Sheet1!$B$5:$H$13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2" l="1"/>
  <c r="M13" i="2" s="1"/>
  <c r="J11" i="4"/>
  <c r="I11" i="4"/>
  <c r="I23" i="8"/>
  <c r="H23" i="8"/>
  <c r="G23" i="8"/>
  <c r="I22" i="8"/>
  <c r="H22" i="8"/>
  <c r="G22" i="8"/>
  <c r="I21" i="8"/>
  <c r="H21" i="8"/>
  <c r="G21" i="8"/>
  <c r="I20" i="8"/>
  <c r="H20" i="8"/>
  <c r="G20" i="8"/>
  <c r="I19" i="8"/>
  <c r="H19" i="8"/>
  <c r="G19" i="8"/>
  <c r="I18" i="8"/>
  <c r="H18" i="8"/>
  <c r="G18" i="8"/>
  <c r="I17" i="8"/>
  <c r="H17" i="8"/>
  <c r="G17" i="8"/>
  <c r="I16" i="8"/>
  <c r="H16" i="8"/>
  <c r="G16" i="8"/>
  <c r="I15" i="8"/>
  <c r="H15" i="8"/>
  <c r="G15" i="8"/>
  <c r="I14" i="8"/>
  <c r="H14" i="8"/>
  <c r="G14" i="8"/>
</calcChain>
</file>

<file path=xl/sharedStrings.xml><?xml version="1.0" encoding="utf-8"?>
<sst xmlns="http://schemas.openxmlformats.org/spreadsheetml/2006/main" count="117" uniqueCount="74">
  <si>
    <t>TV</t>
  </si>
  <si>
    <t>Radios</t>
  </si>
  <si>
    <t>Ipods</t>
  </si>
  <si>
    <t>CD's</t>
  </si>
  <si>
    <t>Computers</t>
  </si>
  <si>
    <t>Printers</t>
  </si>
  <si>
    <t>Tom</t>
  </si>
  <si>
    <t>Dick</t>
  </si>
  <si>
    <t>Harry</t>
  </si>
  <si>
    <t>Wendy</t>
  </si>
  <si>
    <t>Charlene</t>
  </si>
  <si>
    <t>Juli</t>
  </si>
  <si>
    <t>Jami</t>
  </si>
  <si>
    <t>Vivian</t>
  </si>
  <si>
    <t>Christina</t>
  </si>
  <si>
    <t>Salesperson</t>
  </si>
  <si>
    <t>Units sold</t>
  </si>
  <si>
    <t>Worker</t>
  </si>
  <si>
    <t>Assigned to</t>
  </si>
  <si>
    <t>Group 4</t>
  </si>
  <si>
    <t xml:space="preserve">Group 3 </t>
  </si>
  <si>
    <t xml:space="preserve">Group 2 </t>
  </si>
  <si>
    <t>Group 1</t>
  </si>
  <si>
    <t>Suitability rating</t>
  </si>
  <si>
    <t>Lat</t>
  </si>
  <si>
    <t>Long</t>
  </si>
  <si>
    <t>New York</t>
  </si>
  <si>
    <t>Boston</t>
  </si>
  <si>
    <t>Philadelphia</t>
  </si>
  <si>
    <t>Charlotte</t>
  </si>
  <si>
    <t>Atlanta</t>
  </si>
  <si>
    <t>New Orleans</t>
  </si>
  <si>
    <t>Miami</t>
  </si>
  <si>
    <t>Dallas</t>
  </si>
  <si>
    <t>Houston</t>
  </si>
  <si>
    <t>Chicago</t>
  </si>
  <si>
    <t>Detroit</t>
  </si>
  <si>
    <t>Cleveland</t>
  </si>
  <si>
    <t>Indy</t>
  </si>
  <si>
    <t>Denver</t>
  </si>
  <si>
    <t>Minneapolis</t>
  </si>
  <si>
    <t>Phoenix</t>
  </si>
  <si>
    <t>Salt Lake City</t>
  </si>
  <si>
    <t>LA</t>
  </si>
  <si>
    <t>SF</t>
  </si>
  <si>
    <t>SD</t>
  </si>
  <si>
    <t>Seattle</t>
  </si>
  <si>
    <t>Experience</t>
  </si>
  <si>
    <t>Salary</t>
  </si>
  <si>
    <t>ID CODE</t>
  </si>
  <si>
    <t>Adam</t>
  </si>
  <si>
    <t>Tad</t>
  </si>
  <si>
    <t>Dixie</t>
  </si>
  <si>
    <t>Erica</t>
  </si>
  <si>
    <t>Jackson</t>
  </si>
  <si>
    <t>Amanda</t>
  </si>
  <si>
    <t>Aidan</t>
  </si>
  <si>
    <t>Kendall</t>
  </si>
  <si>
    <t>Bianca</t>
  </si>
  <si>
    <t>Zach</t>
  </si>
  <si>
    <t xml:space="preserve">Salary </t>
  </si>
  <si>
    <t xml:space="preserve">Age </t>
  </si>
  <si>
    <t xml:space="preserve">Exp </t>
  </si>
  <si>
    <t>Age</t>
  </si>
  <si>
    <t>Column1</t>
  </si>
  <si>
    <t>The file Hr.xlsx gives employee ID codes, salaries, and years of experience.</t>
  </si>
  <si>
    <t xml:space="preserve"> Write a formula that takes a given ID code and yields the employee’s salary.</t>
  </si>
  <si>
    <t xml:space="preserve"> Write another formula that takes a given ID code and yields the employee’s years of experience</t>
  </si>
  <si>
    <t>The file Assign.xlsx gives the assignment of workers to four groups.</t>
  </si>
  <si>
    <t xml:space="preserve"> The suitability of each worker for each group (on a scale from 0 to 10) is also given. </t>
  </si>
  <si>
    <t>Write a formula that gives the suitability of each worker for the group to which the worker is assigned</t>
  </si>
  <si>
    <t xml:space="preserve">Worker </t>
  </si>
  <si>
    <t xml:space="preserve">Group 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</si>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</sst>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10"/>
      <color theme="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0" fillId="0" borderId="1" xfId="0" applyBorder="1" applyAlignment="1">
      <alignment wrapText="1"/>
    </xf>
    <xf numFmtId="0" fontId="4" fillId="0" borderId="0" xfId="0" applyFont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6" fillId="3" borderId="5" xfId="0" applyFont="1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4" formatCode="&quot;$&quot;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03EDC-8E0A-4A24-931B-2079576121F1}" name="Table1" displayName="Table1" ref="B4:H14" totalsRowShown="0">
  <autoFilter ref="B4:H14" xr:uid="{47A03EDC-8E0A-4A24-931B-2079576121F1}"/>
  <tableColumns count="7">
    <tableColumn id="1" xr3:uid="{0C79F681-B2E9-4478-A805-4C121A3B0504}" name="Column1"/>
    <tableColumn id="2" xr3:uid="{92E8B19F-DC07-45B0-B2E9-8D0084DB0102}" name="TV"/>
    <tableColumn id="3" xr3:uid="{FAAF3BA1-0E21-4FCC-8E77-FB6E0CAF4B53}" name="Radios"/>
    <tableColumn id="4" xr3:uid="{96AB22CC-246F-4395-A819-499BD57DB574}" name="Ipods"/>
    <tableColumn id="5" xr3:uid="{6E4712A8-CE5B-4735-BCD5-5E5A518349ED}" name="CD's"/>
    <tableColumn id="6" xr3:uid="{E1585DE7-F38E-4ABA-A5C4-1DBD643773CE}" name="Computers"/>
    <tableColumn id="7" xr3:uid="{B89BEC0B-54DD-4AD8-8D59-647B4946169F}" name="Printer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135C4-9834-43EA-AA5B-ED4F9AF9539B}" name="Table4" displayName="Table4" ref="B5:D26" totalsRowShown="0">
  <autoFilter ref="B5:D26" xr:uid="{26F135C4-9834-43EA-AA5B-ED4F9AF9539B}"/>
  <tableColumns count="3">
    <tableColumn id="1" xr3:uid="{12D2A421-0257-4984-A99D-1D9C413288D6}" name="Column1"/>
    <tableColumn id="2" xr3:uid="{C78049F9-6E36-4470-8BD7-7196E6FBDE6A}" name="Lat"/>
    <tableColumn id="3" xr3:uid="{D88A8FFD-39B8-43FF-8961-EF19DAC18965}" name="Lo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64E70A-2C6B-4935-895D-994ADF3C5DBE}" name="Hr" displayName="Hr" ref="C5:E47" totalsRowShown="0">
  <autoFilter ref="C5:E47" xr:uid="{F564E70A-2C6B-4935-895D-994ADF3C5DBE}"/>
  <tableColumns count="3">
    <tableColumn id="1" xr3:uid="{1E370CBB-24B3-4BA1-995B-BF0D9318EE41}" name="ID CODE"/>
    <tableColumn id="2" xr3:uid="{04A60D26-FA82-4AD9-AFA4-62E5FF836C65}" name="Salary" dataDxfId="3"/>
    <tableColumn id="3" xr3:uid="{027DC16D-803A-48FD-A850-935793ACC222}" name="Experien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1E8482-1553-4754-8D0C-8DDEA2DA9964}" name="Table6" displayName="Table6" ref="F13:I23" totalsRowShown="0">
  <autoFilter ref="F13:I23" xr:uid="{EC1E8482-1553-4754-8D0C-8DDEA2DA9964}"/>
  <tableColumns count="4">
    <tableColumn id="1" xr3:uid="{FEDCFDD7-507B-4298-BA32-9A92A59CFCE8}" name="Column1" dataDxfId="2"/>
    <tableColumn id="2" xr3:uid="{A634772F-7750-4419-982A-EF1313F57154}" name="Salary " dataDxfId="1">
      <calculatedColumnFormula>VLOOKUP(F14,looksal,2,0)</calculatedColumnFormula>
    </tableColumn>
    <tableColumn id="3" xr3:uid="{A5C40A0B-961F-4778-8518-7D3B9D4EB4F4}" name="Age " dataDxfId="0">
      <calculatedColumnFormula>VLOOKUP(F14,lookage,2,0)</calculatedColumnFormula>
    </tableColumn>
    <tableColumn id="4" xr3:uid="{766E99E7-ECF0-4452-B199-D04DEA1DD504}" name="Exp ">
      <calculatedColumnFormula>VLOOKUP(F14,lookexp,2,0)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17"/>
  <sheetViews>
    <sheetView zoomScale="130" zoomScaleNormal="130" workbookViewId="0">
      <selection activeCell="H18" sqref="H18"/>
    </sheetView>
  </sheetViews>
  <sheetFormatPr defaultRowHeight="12.75" x14ac:dyDescent="0.2"/>
  <cols>
    <col min="2" max="2" width="11.5703125" customWidth="1"/>
    <col min="7" max="7" width="12" customWidth="1"/>
    <col min="8" max="8" width="9.28515625" customWidth="1"/>
  </cols>
  <sheetData>
    <row r="4" spans="2:8" x14ac:dyDescent="0.2">
      <c r="B4" t="s">
        <v>64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</row>
    <row r="5" spans="2:8" x14ac:dyDescent="0.2">
      <c r="B5" t="s">
        <v>6</v>
      </c>
      <c r="C5">
        <v>9</v>
      </c>
      <c r="D5">
        <v>6</v>
      </c>
      <c r="E5">
        <v>9</v>
      </c>
      <c r="F5">
        <v>8</v>
      </c>
      <c r="G5">
        <v>5</v>
      </c>
      <c r="H5">
        <v>12</v>
      </c>
    </row>
    <row r="6" spans="2:8" x14ac:dyDescent="0.2">
      <c r="B6" t="s">
        <v>7</v>
      </c>
      <c r="C6">
        <v>10</v>
      </c>
      <c r="D6">
        <v>12</v>
      </c>
      <c r="E6">
        <v>7</v>
      </c>
      <c r="F6">
        <v>6</v>
      </c>
      <c r="G6">
        <v>8</v>
      </c>
      <c r="H6">
        <v>8</v>
      </c>
    </row>
    <row r="7" spans="2:8" x14ac:dyDescent="0.2">
      <c r="B7" t="s">
        <v>8</v>
      </c>
      <c r="C7">
        <v>12</v>
      </c>
      <c r="D7">
        <v>5</v>
      </c>
      <c r="E7">
        <v>11</v>
      </c>
      <c r="F7">
        <v>6</v>
      </c>
      <c r="G7">
        <v>5</v>
      </c>
      <c r="H7">
        <v>6</v>
      </c>
    </row>
    <row r="8" spans="2:8" x14ac:dyDescent="0.2">
      <c r="B8" t="s">
        <v>9</v>
      </c>
      <c r="C8">
        <v>11</v>
      </c>
      <c r="D8">
        <v>11</v>
      </c>
      <c r="E8">
        <v>12</v>
      </c>
      <c r="F8">
        <v>9</v>
      </c>
      <c r="G8">
        <v>10</v>
      </c>
      <c r="H8">
        <v>9</v>
      </c>
    </row>
    <row r="9" spans="2:8" x14ac:dyDescent="0.2">
      <c r="B9" t="s">
        <v>10</v>
      </c>
      <c r="C9">
        <v>6</v>
      </c>
      <c r="D9">
        <v>9</v>
      </c>
      <c r="E9">
        <v>9</v>
      </c>
      <c r="F9">
        <v>5</v>
      </c>
      <c r="G9">
        <v>6</v>
      </c>
      <c r="H9">
        <v>6</v>
      </c>
    </row>
    <row r="10" spans="2:8" x14ac:dyDescent="0.2">
      <c r="B10" t="s">
        <v>11</v>
      </c>
      <c r="C10">
        <v>6</v>
      </c>
      <c r="D10">
        <v>12</v>
      </c>
      <c r="E10">
        <v>5</v>
      </c>
      <c r="F10">
        <v>11</v>
      </c>
      <c r="G10">
        <v>11</v>
      </c>
      <c r="H10">
        <v>7</v>
      </c>
    </row>
    <row r="11" spans="2:8" x14ac:dyDescent="0.2">
      <c r="B11" t="s">
        <v>12</v>
      </c>
      <c r="C11">
        <v>8</v>
      </c>
      <c r="D11">
        <v>6</v>
      </c>
      <c r="E11">
        <v>11</v>
      </c>
      <c r="F11">
        <v>8</v>
      </c>
      <c r="G11">
        <v>12</v>
      </c>
      <c r="H11">
        <v>11</v>
      </c>
    </row>
    <row r="12" spans="2:8" x14ac:dyDescent="0.2">
      <c r="B12" t="s">
        <v>13</v>
      </c>
      <c r="C12">
        <v>10</v>
      </c>
      <c r="D12">
        <v>7</v>
      </c>
      <c r="E12">
        <v>11</v>
      </c>
      <c r="F12">
        <v>8</v>
      </c>
      <c r="G12">
        <v>9</v>
      </c>
      <c r="H12">
        <v>8</v>
      </c>
    </row>
    <row r="13" spans="2:8" x14ac:dyDescent="0.2">
      <c r="B13" t="s">
        <v>14</v>
      </c>
      <c r="C13">
        <v>8</v>
      </c>
      <c r="D13">
        <v>6</v>
      </c>
      <c r="E13">
        <v>6</v>
      </c>
      <c r="F13">
        <v>8</v>
      </c>
      <c r="G13">
        <v>6</v>
      </c>
      <c r="H13">
        <v>11</v>
      </c>
    </row>
    <row r="14" spans="2:8" x14ac:dyDescent="0.2">
      <c r="C14">
        <v>3</v>
      </c>
      <c r="D14">
        <v>2</v>
      </c>
      <c r="E14">
        <v>7</v>
      </c>
      <c r="F14">
        <v>5</v>
      </c>
    </row>
    <row r="15" spans="2:8" x14ac:dyDescent="0.2">
      <c r="C15" s="2" t="s">
        <v>16</v>
      </c>
    </row>
    <row r="16" spans="2:8" x14ac:dyDescent="0.2">
      <c r="B16" s="1" t="s">
        <v>15</v>
      </c>
      <c r="C16" t="s">
        <v>1</v>
      </c>
      <c r="D16" s="1" t="s">
        <v>0</v>
      </c>
      <c r="E16" t="s">
        <v>5</v>
      </c>
      <c r="F16" s="1" t="s">
        <v>3</v>
      </c>
      <c r="G16" s="1"/>
      <c r="H16" s="1"/>
    </row>
    <row r="17" spans="2:2" x14ac:dyDescent="0.2">
      <c r="B17" s="1" t="s">
        <v>6</v>
      </c>
    </row>
  </sheetData>
  <phoneticPr fontId="1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3DE1-77FA-41BA-86D3-EF704F5C2553}">
  <dimension ref="B2:M87"/>
  <sheetViews>
    <sheetView tabSelected="1" topLeftCell="B1" workbookViewId="0">
      <selection activeCell="M13" sqref="M13"/>
    </sheetView>
  </sheetViews>
  <sheetFormatPr defaultRowHeight="12.75" x14ac:dyDescent="0.2"/>
  <cols>
    <col min="1" max="1" width="10.5703125" customWidth="1"/>
    <col min="2" max="2" width="7" customWidth="1"/>
    <col min="4" max="5" width="8.140625" bestFit="1" customWidth="1"/>
    <col min="6" max="6" width="7.5703125" bestFit="1" customWidth="1"/>
    <col min="9" max="9" width="13.5703125" customWidth="1"/>
    <col min="10" max="10" width="9.7109375" customWidth="1"/>
    <col min="11" max="11" width="10.28515625" customWidth="1"/>
    <col min="12" max="13" width="10.85546875" customWidth="1"/>
    <col min="14" max="14" width="10.28515625" customWidth="1"/>
  </cols>
  <sheetData>
    <row r="2" spans="2:13" x14ac:dyDescent="0.2">
      <c r="D2" s="1" t="s">
        <v>23</v>
      </c>
    </row>
    <row r="5" spans="2:13" x14ac:dyDescent="0.2">
      <c r="E5" s="1" t="s">
        <v>23</v>
      </c>
    </row>
    <row r="6" spans="2:13" x14ac:dyDescent="0.2">
      <c r="D6" t="s">
        <v>22</v>
      </c>
      <c r="E6" t="s">
        <v>21</v>
      </c>
      <c r="F6" t="s">
        <v>20</v>
      </c>
      <c r="G6" t="s">
        <v>19</v>
      </c>
    </row>
    <row r="7" spans="2:13" x14ac:dyDescent="0.2">
      <c r="B7" t="s">
        <v>18</v>
      </c>
      <c r="C7" t="s">
        <v>17</v>
      </c>
      <c r="D7">
        <v>1</v>
      </c>
      <c r="E7">
        <v>2</v>
      </c>
      <c r="F7">
        <v>3</v>
      </c>
      <c r="G7">
        <v>4</v>
      </c>
      <c r="L7" t="s">
        <v>68</v>
      </c>
    </row>
    <row r="8" spans="2:13" x14ac:dyDescent="0.2">
      <c r="B8">
        <v>4</v>
      </c>
      <c r="C8">
        <v>1</v>
      </c>
      <c r="D8">
        <v>9</v>
      </c>
      <c r="E8">
        <v>8</v>
      </c>
      <c r="F8">
        <v>6</v>
      </c>
      <c r="G8">
        <v>8</v>
      </c>
      <c r="L8" t="s">
        <v>69</v>
      </c>
    </row>
    <row r="9" spans="2:13" x14ac:dyDescent="0.2">
      <c r="B9">
        <v>1</v>
      </c>
      <c r="C9">
        <v>2</v>
      </c>
      <c r="D9">
        <v>10</v>
      </c>
      <c r="E9">
        <v>0</v>
      </c>
      <c r="F9">
        <v>5</v>
      </c>
      <c r="G9">
        <v>6</v>
      </c>
      <c r="L9" t="s">
        <v>70</v>
      </c>
    </row>
    <row r="10" spans="2:13" x14ac:dyDescent="0.2">
      <c r="B10">
        <v>3</v>
      </c>
      <c r="C10">
        <v>3</v>
      </c>
      <c r="D10">
        <v>5</v>
      </c>
      <c r="E10">
        <v>8</v>
      </c>
      <c r="F10">
        <v>10</v>
      </c>
      <c r="G10">
        <v>5</v>
      </c>
    </row>
    <row r="11" spans="2:13" x14ac:dyDescent="0.2">
      <c r="B11">
        <v>1</v>
      </c>
      <c r="C11">
        <v>4</v>
      </c>
      <c r="D11">
        <v>4</v>
      </c>
      <c r="E11">
        <v>0</v>
      </c>
      <c r="F11">
        <v>5</v>
      </c>
      <c r="G11">
        <v>2</v>
      </c>
      <c r="L11" s="1" t="s">
        <v>71</v>
      </c>
      <c r="M11">
        <v>23</v>
      </c>
    </row>
    <row r="12" spans="2:13" x14ac:dyDescent="0.2">
      <c r="B12">
        <v>2</v>
      </c>
      <c r="C12">
        <v>5</v>
      </c>
      <c r="D12">
        <v>9</v>
      </c>
      <c r="E12">
        <v>10</v>
      </c>
      <c r="F12">
        <v>4</v>
      </c>
      <c r="G12">
        <v>5</v>
      </c>
      <c r="L12" s="1" t="s">
        <v>72</v>
      </c>
      <c r="M12">
        <f>INDEX(B7:B87,MATCH(M11,C7:C87,0))</f>
        <v>3</v>
      </c>
    </row>
    <row r="13" spans="2:13" x14ac:dyDescent="0.2">
      <c r="B13">
        <v>3</v>
      </c>
      <c r="C13">
        <v>6</v>
      </c>
      <c r="D13">
        <v>5</v>
      </c>
      <c r="E13">
        <v>2</v>
      </c>
      <c r="F13">
        <v>7</v>
      </c>
      <c r="G13">
        <v>3</v>
      </c>
      <c r="L13" s="1" t="s">
        <v>73</v>
      </c>
      <c r="M13">
        <f>VLOOKUP(M11,C8:G87,MATCH(M12,C7:G7,0),0)</f>
        <v>10</v>
      </c>
    </row>
    <row r="14" spans="2:13" x14ac:dyDescent="0.2">
      <c r="B14">
        <v>1</v>
      </c>
      <c r="C14">
        <v>7</v>
      </c>
      <c r="D14">
        <v>8</v>
      </c>
      <c r="E14">
        <v>3</v>
      </c>
      <c r="F14">
        <v>1</v>
      </c>
      <c r="G14">
        <v>2</v>
      </c>
    </row>
    <row r="15" spans="2:13" x14ac:dyDescent="0.2">
      <c r="B15">
        <v>3</v>
      </c>
      <c r="C15">
        <v>8</v>
      </c>
      <c r="D15">
        <v>2</v>
      </c>
      <c r="E15">
        <v>2</v>
      </c>
      <c r="F15">
        <v>9</v>
      </c>
      <c r="G15">
        <v>2</v>
      </c>
    </row>
    <row r="16" spans="2:13" x14ac:dyDescent="0.2">
      <c r="B16">
        <v>1</v>
      </c>
      <c r="C16">
        <v>9</v>
      </c>
      <c r="D16">
        <v>8</v>
      </c>
      <c r="E16">
        <v>7</v>
      </c>
      <c r="F16">
        <v>6</v>
      </c>
      <c r="G16">
        <v>3</v>
      </c>
    </row>
    <row r="17" spans="2:7" x14ac:dyDescent="0.2">
      <c r="B17">
        <v>4</v>
      </c>
      <c r="C17">
        <v>10</v>
      </c>
      <c r="D17">
        <v>7</v>
      </c>
      <c r="E17">
        <v>0</v>
      </c>
      <c r="F17">
        <v>1</v>
      </c>
      <c r="G17">
        <v>8</v>
      </c>
    </row>
    <row r="18" spans="2:7" x14ac:dyDescent="0.2">
      <c r="B18">
        <v>3</v>
      </c>
      <c r="C18">
        <v>11</v>
      </c>
      <c r="D18">
        <v>8</v>
      </c>
      <c r="E18">
        <v>1</v>
      </c>
      <c r="F18">
        <v>6</v>
      </c>
      <c r="G18">
        <v>6</v>
      </c>
    </row>
    <row r="19" spans="2:7" x14ac:dyDescent="0.2">
      <c r="B19">
        <v>2</v>
      </c>
      <c r="C19">
        <v>12</v>
      </c>
      <c r="D19">
        <v>0</v>
      </c>
      <c r="E19">
        <v>7</v>
      </c>
      <c r="F19">
        <v>1</v>
      </c>
      <c r="G19">
        <v>2</v>
      </c>
    </row>
    <row r="20" spans="2:7" x14ac:dyDescent="0.2">
      <c r="B20">
        <v>1</v>
      </c>
      <c r="C20">
        <v>13</v>
      </c>
      <c r="D20">
        <v>9</v>
      </c>
      <c r="E20">
        <v>0</v>
      </c>
      <c r="F20">
        <v>5</v>
      </c>
      <c r="G20">
        <v>4</v>
      </c>
    </row>
    <row r="21" spans="2:7" x14ac:dyDescent="0.2">
      <c r="B21">
        <v>4</v>
      </c>
      <c r="C21">
        <v>14</v>
      </c>
      <c r="D21">
        <v>9</v>
      </c>
      <c r="E21">
        <v>2</v>
      </c>
      <c r="F21">
        <v>2</v>
      </c>
      <c r="G21">
        <v>7</v>
      </c>
    </row>
    <row r="22" spans="2:7" x14ac:dyDescent="0.2">
      <c r="B22">
        <v>3</v>
      </c>
      <c r="C22">
        <v>15</v>
      </c>
      <c r="D22">
        <v>1</v>
      </c>
      <c r="E22">
        <v>3</v>
      </c>
      <c r="F22">
        <v>8</v>
      </c>
      <c r="G22">
        <v>4</v>
      </c>
    </row>
    <row r="23" spans="2:7" x14ac:dyDescent="0.2">
      <c r="B23">
        <v>1</v>
      </c>
      <c r="C23">
        <v>16</v>
      </c>
      <c r="D23">
        <v>9</v>
      </c>
      <c r="E23">
        <v>6</v>
      </c>
      <c r="F23">
        <v>4</v>
      </c>
      <c r="G23">
        <v>5</v>
      </c>
    </row>
    <row r="24" spans="2:7" x14ac:dyDescent="0.2">
      <c r="B24">
        <v>1</v>
      </c>
      <c r="C24">
        <v>17</v>
      </c>
      <c r="D24">
        <v>8</v>
      </c>
      <c r="E24">
        <v>0</v>
      </c>
      <c r="F24">
        <v>5</v>
      </c>
      <c r="G24">
        <v>0</v>
      </c>
    </row>
    <row r="25" spans="2:7" x14ac:dyDescent="0.2">
      <c r="B25">
        <v>2</v>
      </c>
      <c r="C25">
        <v>18</v>
      </c>
      <c r="D25">
        <v>6</v>
      </c>
      <c r="E25">
        <v>7</v>
      </c>
      <c r="F25">
        <v>6</v>
      </c>
      <c r="G25">
        <v>3</v>
      </c>
    </row>
    <row r="26" spans="2:7" x14ac:dyDescent="0.2">
      <c r="B26">
        <v>3</v>
      </c>
      <c r="C26">
        <v>19</v>
      </c>
      <c r="D26">
        <v>3</v>
      </c>
      <c r="E26">
        <v>4</v>
      </c>
      <c r="F26">
        <v>5</v>
      </c>
      <c r="G26">
        <v>4</v>
      </c>
    </row>
    <row r="27" spans="2:7" x14ac:dyDescent="0.2">
      <c r="B27">
        <v>2</v>
      </c>
      <c r="C27">
        <v>20</v>
      </c>
      <c r="D27">
        <v>3</v>
      </c>
      <c r="E27">
        <v>9</v>
      </c>
      <c r="F27">
        <v>4</v>
      </c>
      <c r="G27">
        <v>4</v>
      </c>
    </row>
    <row r="28" spans="2:7" x14ac:dyDescent="0.2">
      <c r="B28">
        <v>3</v>
      </c>
      <c r="C28">
        <v>21</v>
      </c>
      <c r="D28">
        <v>1</v>
      </c>
      <c r="E28">
        <v>6</v>
      </c>
      <c r="F28">
        <v>9</v>
      </c>
      <c r="G28">
        <v>1</v>
      </c>
    </row>
    <row r="29" spans="2:7" x14ac:dyDescent="0.2">
      <c r="B29">
        <v>4</v>
      </c>
      <c r="C29">
        <v>22</v>
      </c>
      <c r="D29">
        <v>5</v>
      </c>
      <c r="E29">
        <v>1</v>
      </c>
      <c r="F29">
        <v>3</v>
      </c>
      <c r="G29">
        <v>7</v>
      </c>
    </row>
    <row r="30" spans="2:7" x14ac:dyDescent="0.2">
      <c r="B30">
        <v>3</v>
      </c>
      <c r="C30">
        <v>23</v>
      </c>
      <c r="D30">
        <v>8</v>
      </c>
      <c r="E30">
        <v>7</v>
      </c>
      <c r="F30">
        <v>10</v>
      </c>
      <c r="G30">
        <v>2</v>
      </c>
    </row>
    <row r="31" spans="2:7" x14ac:dyDescent="0.2">
      <c r="B31">
        <v>3</v>
      </c>
      <c r="C31">
        <v>24</v>
      </c>
      <c r="D31">
        <v>3</v>
      </c>
      <c r="E31">
        <v>6</v>
      </c>
      <c r="F31">
        <v>4</v>
      </c>
      <c r="G31">
        <v>4</v>
      </c>
    </row>
    <row r="32" spans="2:7" x14ac:dyDescent="0.2">
      <c r="B32">
        <v>1</v>
      </c>
      <c r="C32">
        <v>25</v>
      </c>
      <c r="D32">
        <v>7</v>
      </c>
      <c r="E32">
        <v>1</v>
      </c>
      <c r="F32">
        <v>1</v>
      </c>
      <c r="G32">
        <v>0</v>
      </c>
    </row>
    <row r="33" spans="2:7" x14ac:dyDescent="0.2">
      <c r="B33">
        <v>3</v>
      </c>
      <c r="C33">
        <v>26</v>
      </c>
      <c r="D33">
        <v>0</v>
      </c>
      <c r="E33">
        <v>9</v>
      </c>
      <c r="F33">
        <v>8</v>
      </c>
      <c r="G33">
        <v>1</v>
      </c>
    </row>
    <row r="34" spans="2:7" x14ac:dyDescent="0.2">
      <c r="B34">
        <v>2</v>
      </c>
      <c r="C34">
        <v>27</v>
      </c>
      <c r="D34">
        <v>3</v>
      </c>
      <c r="E34">
        <v>9</v>
      </c>
      <c r="F34">
        <v>1</v>
      </c>
      <c r="G34">
        <v>5</v>
      </c>
    </row>
    <row r="35" spans="2:7" x14ac:dyDescent="0.2">
      <c r="B35">
        <v>2</v>
      </c>
      <c r="C35">
        <v>28</v>
      </c>
      <c r="D35">
        <v>2</v>
      </c>
      <c r="E35">
        <v>4</v>
      </c>
      <c r="F35">
        <v>0</v>
      </c>
      <c r="G35">
        <v>1</v>
      </c>
    </row>
    <row r="36" spans="2:7" x14ac:dyDescent="0.2">
      <c r="B36">
        <v>2</v>
      </c>
      <c r="C36">
        <v>29</v>
      </c>
      <c r="D36">
        <v>1</v>
      </c>
      <c r="E36">
        <v>6</v>
      </c>
      <c r="F36">
        <v>7</v>
      </c>
      <c r="G36">
        <v>3</v>
      </c>
    </row>
    <row r="37" spans="2:7" x14ac:dyDescent="0.2">
      <c r="B37">
        <v>2</v>
      </c>
      <c r="C37">
        <v>30</v>
      </c>
      <c r="D37">
        <v>2</v>
      </c>
      <c r="E37">
        <v>3</v>
      </c>
      <c r="F37">
        <v>3</v>
      </c>
      <c r="G37">
        <v>0</v>
      </c>
    </row>
    <row r="38" spans="2:7" x14ac:dyDescent="0.2">
      <c r="B38">
        <v>4</v>
      </c>
      <c r="C38">
        <v>31</v>
      </c>
      <c r="D38">
        <v>3</v>
      </c>
      <c r="E38">
        <v>5</v>
      </c>
      <c r="F38">
        <v>4</v>
      </c>
      <c r="G38">
        <v>8</v>
      </c>
    </row>
    <row r="39" spans="2:7" hidden="1" x14ac:dyDescent="0.2">
      <c r="B39">
        <v>4</v>
      </c>
      <c r="C39">
        <v>32</v>
      </c>
      <c r="D39">
        <v>1</v>
      </c>
      <c r="E39">
        <v>1</v>
      </c>
      <c r="F39">
        <v>3</v>
      </c>
      <c r="G39">
        <v>7</v>
      </c>
    </row>
    <row r="40" spans="2:7" hidden="1" x14ac:dyDescent="0.2">
      <c r="B40">
        <v>4</v>
      </c>
      <c r="C40">
        <v>33</v>
      </c>
      <c r="D40">
        <v>5</v>
      </c>
      <c r="E40">
        <v>1</v>
      </c>
      <c r="F40">
        <v>2</v>
      </c>
      <c r="G40">
        <v>6</v>
      </c>
    </row>
    <row r="41" spans="2:7" hidden="1" x14ac:dyDescent="0.2">
      <c r="B41">
        <v>1</v>
      </c>
      <c r="C41">
        <v>34</v>
      </c>
      <c r="D41">
        <v>8</v>
      </c>
      <c r="E41">
        <v>2</v>
      </c>
      <c r="F41">
        <v>3</v>
      </c>
      <c r="G41">
        <v>3</v>
      </c>
    </row>
    <row r="42" spans="2:7" hidden="1" x14ac:dyDescent="0.2">
      <c r="B42">
        <v>4</v>
      </c>
      <c r="C42">
        <v>35</v>
      </c>
      <c r="D42">
        <v>1</v>
      </c>
      <c r="E42">
        <v>8</v>
      </c>
      <c r="F42">
        <v>6</v>
      </c>
      <c r="G42">
        <v>9</v>
      </c>
    </row>
    <row r="43" spans="2:7" hidden="1" x14ac:dyDescent="0.2">
      <c r="B43">
        <v>2</v>
      </c>
      <c r="C43">
        <v>36</v>
      </c>
      <c r="D43">
        <v>1</v>
      </c>
      <c r="E43">
        <v>9</v>
      </c>
      <c r="F43">
        <v>1</v>
      </c>
      <c r="G43">
        <v>6</v>
      </c>
    </row>
    <row r="44" spans="2:7" hidden="1" x14ac:dyDescent="0.2">
      <c r="B44">
        <v>4</v>
      </c>
      <c r="C44">
        <v>37</v>
      </c>
      <c r="D44">
        <v>6</v>
      </c>
      <c r="E44">
        <v>1</v>
      </c>
      <c r="F44">
        <v>8</v>
      </c>
      <c r="G44">
        <v>10</v>
      </c>
    </row>
    <row r="45" spans="2:7" hidden="1" x14ac:dyDescent="0.2">
      <c r="B45">
        <v>4</v>
      </c>
      <c r="C45">
        <v>38</v>
      </c>
      <c r="D45">
        <v>6</v>
      </c>
      <c r="E45">
        <v>1</v>
      </c>
      <c r="F45">
        <v>7</v>
      </c>
      <c r="G45">
        <v>9</v>
      </c>
    </row>
    <row r="46" spans="2:7" hidden="1" x14ac:dyDescent="0.2">
      <c r="B46">
        <v>4</v>
      </c>
      <c r="C46">
        <v>39</v>
      </c>
      <c r="D46">
        <v>1</v>
      </c>
      <c r="E46">
        <v>2</v>
      </c>
      <c r="F46">
        <v>6</v>
      </c>
      <c r="G46">
        <v>6</v>
      </c>
    </row>
    <row r="47" spans="2:7" hidden="1" x14ac:dyDescent="0.2">
      <c r="B47">
        <v>1</v>
      </c>
      <c r="C47">
        <v>40</v>
      </c>
      <c r="D47">
        <v>2</v>
      </c>
      <c r="E47">
        <v>1</v>
      </c>
      <c r="F47">
        <v>3</v>
      </c>
      <c r="G47">
        <v>5</v>
      </c>
    </row>
    <row r="48" spans="2:7" hidden="1" x14ac:dyDescent="0.2">
      <c r="B48">
        <v>2</v>
      </c>
      <c r="C48">
        <v>41</v>
      </c>
      <c r="D48">
        <v>2</v>
      </c>
      <c r="E48">
        <v>7</v>
      </c>
      <c r="F48">
        <v>0</v>
      </c>
      <c r="G48">
        <v>5</v>
      </c>
    </row>
    <row r="49" spans="2:7" hidden="1" x14ac:dyDescent="0.2">
      <c r="B49">
        <v>1</v>
      </c>
      <c r="C49">
        <v>42</v>
      </c>
      <c r="D49">
        <v>6</v>
      </c>
      <c r="E49">
        <v>6</v>
      </c>
      <c r="F49">
        <v>4</v>
      </c>
      <c r="G49">
        <v>8</v>
      </c>
    </row>
    <row r="50" spans="2:7" hidden="1" x14ac:dyDescent="0.2">
      <c r="B50">
        <v>3</v>
      </c>
      <c r="C50">
        <v>43</v>
      </c>
      <c r="D50">
        <v>0</v>
      </c>
      <c r="E50">
        <v>2</v>
      </c>
      <c r="F50">
        <v>9</v>
      </c>
      <c r="G50">
        <v>5</v>
      </c>
    </row>
    <row r="51" spans="2:7" hidden="1" x14ac:dyDescent="0.2">
      <c r="B51">
        <v>1</v>
      </c>
      <c r="C51">
        <v>44</v>
      </c>
      <c r="D51">
        <v>7</v>
      </c>
      <c r="E51">
        <v>7</v>
      </c>
      <c r="F51">
        <v>4</v>
      </c>
      <c r="G51">
        <v>2</v>
      </c>
    </row>
    <row r="52" spans="2:7" hidden="1" x14ac:dyDescent="0.2">
      <c r="B52">
        <v>1</v>
      </c>
      <c r="C52">
        <v>45</v>
      </c>
      <c r="D52">
        <v>10</v>
      </c>
      <c r="E52">
        <v>2</v>
      </c>
      <c r="F52">
        <v>0</v>
      </c>
      <c r="G52">
        <v>0</v>
      </c>
    </row>
    <row r="53" spans="2:7" hidden="1" x14ac:dyDescent="0.2">
      <c r="B53">
        <v>3</v>
      </c>
      <c r="C53">
        <v>46</v>
      </c>
      <c r="D53">
        <v>1</v>
      </c>
      <c r="E53">
        <v>9</v>
      </c>
      <c r="F53">
        <v>9</v>
      </c>
      <c r="G53">
        <v>8</v>
      </c>
    </row>
    <row r="54" spans="2:7" hidden="1" x14ac:dyDescent="0.2">
      <c r="B54">
        <v>2</v>
      </c>
      <c r="C54">
        <v>47</v>
      </c>
      <c r="D54">
        <v>3</v>
      </c>
      <c r="E54">
        <v>6</v>
      </c>
      <c r="F54">
        <v>5</v>
      </c>
      <c r="G54">
        <v>0</v>
      </c>
    </row>
    <row r="55" spans="2:7" hidden="1" x14ac:dyDescent="0.2">
      <c r="B55">
        <v>4</v>
      </c>
      <c r="C55">
        <v>48</v>
      </c>
      <c r="D55">
        <v>2</v>
      </c>
      <c r="E55">
        <v>7</v>
      </c>
      <c r="F55">
        <v>2</v>
      </c>
      <c r="G55">
        <v>9</v>
      </c>
    </row>
    <row r="56" spans="2:7" hidden="1" x14ac:dyDescent="0.2">
      <c r="B56">
        <v>4</v>
      </c>
      <c r="C56">
        <v>49</v>
      </c>
      <c r="D56">
        <v>7</v>
      </c>
      <c r="E56">
        <v>9</v>
      </c>
      <c r="F56">
        <v>3</v>
      </c>
      <c r="G56">
        <v>9</v>
      </c>
    </row>
    <row r="57" spans="2:7" hidden="1" x14ac:dyDescent="0.2">
      <c r="B57">
        <v>2</v>
      </c>
      <c r="C57">
        <v>50</v>
      </c>
      <c r="D57">
        <v>0</v>
      </c>
      <c r="E57">
        <v>10</v>
      </c>
      <c r="F57">
        <v>1</v>
      </c>
      <c r="G57">
        <v>3</v>
      </c>
    </row>
    <row r="58" spans="2:7" hidden="1" x14ac:dyDescent="0.2">
      <c r="B58">
        <v>2</v>
      </c>
      <c r="C58">
        <v>51</v>
      </c>
      <c r="D58">
        <v>8</v>
      </c>
      <c r="E58">
        <v>10</v>
      </c>
      <c r="F58">
        <v>5</v>
      </c>
      <c r="G58">
        <v>7</v>
      </c>
    </row>
    <row r="59" spans="2:7" hidden="1" x14ac:dyDescent="0.2">
      <c r="B59">
        <v>3</v>
      </c>
      <c r="C59">
        <v>52</v>
      </c>
      <c r="D59">
        <v>8</v>
      </c>
      <c r="E59">
        <v>2</v>
      </c>
      <c r="F59">
        <v>8</v>
      </c>
      <c r="G59">
        <v>3</v>
      </c>
    </row>
    <row r="60" spans="2:7" hidden="1" x14ac:dyDescent="0.2">
      <c r="B60">
        <v>4</v>
      </c>
      <c r="C60">
        <v>53</v>
      </c>
      <c r="D60">
        <v>2</v>
      </c>
      <c r="E60">
        <v>2</v>
      </c>
      <c r="F60">
        <v>5</v>
      </c>
      <c r="G60">
        <v>5</v>
      </c>
    </row>
    <row r="61" spans="2:7" hidden="1" x14ac:dyDescent="0.2">
      <c r="B61">
        <v>3</v>
      </c>
      <c r="C61">
        <v>54</v>
      </c>
      <c r="D61">
        <v>8</v>
      </c>
      <c r="E61">
        <v>1</v>
      </c>
      <c r="F61">
        <v>6</v>
      </c>
      <c r="G61">
        <v>9</v>
      </c>
    </row>
    <row r="62" spans="2:7" hidden="1" x14ac:dyDescent="0.2">
      <c r="B62">
        <v>4</v>
      </c>
      <c r="C62">
        <v>55</v>
      </c>
      <c r="D62">
        <v>2</v>
      </c>
      <c r="E62">
        <v>9</v>
      </c>
      <c r="F62">
        <v>8</v>
      </c>
      <c r="G62">
        <v>6</v>
      </c>
    </row>
    <row r="63" spans="2:7" hidden="1" x14ac:dyDescent="0.2">
      <c r="B63">
        <v>3</v>
      </c>
      <c r="C63">
        <v>56</v>
      </c>
      <c r="D63">
        <v>3</v>
      </c>
      <c r="E63">
        <v>8</v>
      </c>
      <c r="F63">
        <v>5</v>
      </c>
      <c r="G63">
        <v>0</v>
      </c>
    </row>
    <row r="64" spans="2:7" hidden="1" x14ac:dyDescent="0.2">
      <c r="B64">
        <v>3</v>
      </c>
      <c r="C64">
        <v>57</v>
      </c>
      <c r="D64">
        <v>5</v>
      </c>
      <c r="E64">
        <v>2</v>
      </c>
      <c r="F64">
        <v>3</v>
      </c>
      <c r="G64">
        <v>2</v>
      </c>
    </row>
    <row r="65" spans="2:7" hidden="1" x14ac:dyDescent="0.2">
      <c r="B65">
        <v>3</v>
      </c>
      <c r="C65">
        <v>58</v>
      </c>
      <c r="D65">
        <v>0</v>
      </c>
      <c r="E65">
        <v>3</v>
      </c>
      <c r="F65">
        <v>6</v>
      </c>
      <c r="G65">
        <v>2</v>
      </c>
    </row>
    <row r="66" spans="2:7" hidden="1" x14ac:dyDescent="0.2">
      <c r="B66">
        <v>3</v>
      </c>
      <c r="C66">
        <v>59</v>
      </c>
      <c r="D66">
        <v>3</v>
      </c>
      <c r="E66">
        <v>5</v>
      </c>
      <c r="F66">
        <v>8</v>
      </c>
      <c r="G66">
        <v>9</v>
      </c>
    </row>
    <row r="67" spans="2:7" hidden="1" x14ac:dyDescent="0.2">
      <c r="B67">
        <v>3</v>
      </c>
      <c r="C67">
        <v>60</v>
      </c>
      <c r="D67">
        <v>4</v>
      </c>
      <c r="E67">
        <v>5</v>
      </c>
      <c r="F67">
        <v>5</v>
      </c>
      <c r="G67">
        <v>1</v>
      </c>
    </row>
    <row r="68" spans="2:7" hidden="1" x14ac:dyDescent="0.2">
      <c r="B68">
        <v>1</v>
      </c>
      <c r="C68">
        <v>61</v>
      </c>
      <c r="D68">
        <v>5</v>
      </c>
      <c r="E68">
        <v>3</v>
      </c>
      <c r="F68">
        <v>1</v>
      </c>
      <c r="G68">
        <v>5</v>
      </c>
    </row>
    <row r="69" spans="2:7" hidden="1" x14ac:dyDescent="0.2">
      <c r="B69">
        <v>4</v>
      </c>
      <c r="C69">
        <v>62</v>
      </c>
      <c r="D69">
        <v>0</v>
      </c>
      <c r="E69">
        <v>9</v>
      </c>
      <c r="F69">
        <v>2</v>
      </c>
      <c r="G69">
        <v>9</v>
      </c>
    </row>
    <row r="70" spans="2:7" hidden="1" x14ac:dyDescent="0.2">
      <c r="B70">
        <v>3</v>
      </c>
      <c r="C70">
        <v>63</v>
      </c>
      <c r="D70">
        <v>1</v>
      </c>
      <c r="E70">
        <v>3</v>
      </c>
      <c r="F70">
        <v>4</v>
      </c>
      <c r="G70">
        <v>3</v>
      </c>
    </row>
    <row r="71" spans="2:7" hidden="1" x14ac:dyDescent="0.2">
      <c r="B71">
        <v>2</v>
      </c>
      <c r="C71">
        <v>64</v>
      </c>
      <c r="D71">
        <v>4</v>
      </c>
      <c r="E71">
        <v>9</v>
      </c>
      <c r="F71">
        <v>6</v>
      </c>
      <c r="G71">
        <v>0</v>
      </c>
    </row>
    <row r="72" spans="2:7" x14ac:dyDescent="0.2">
      <c r="B72">
        <v>4</v>
      </c>
      <c r="C72">
        <v>65</v>
      </c>
      <c r="D72">
        <v>4</v>
      </c>
      <c r="E72">
        <v>3</v>
      </c>
      <c r="F72">
        <v>2</v>
      </c>
      <c r="G72">
        <v>9</v>
      </c>
    </row>
    <row r="73" spans="2:7" x14ac:dyDescent="0.2">
      <c r="B73">
        <v>1</v>
      </c>
      <c r="C73">
        <v>66</v>
      </c>
      <c r="D73">
        <v>9</v>
      </c>
      <c r="E73">
        <v>8</v>
      </c>
      <c r="F73">
        <v>1</v>
      </c>
      <c r="G73">
        <v>7</v>
      </c>
    </row>
    <row r="74" spans="2:7" x14ac:dyDescent="0.2">
      <c r="B74">
        <v>4</v>
      </c>
      <c r="C74">
        <v>67</v>
      </c>
      <c r="D74">
        <v>7</v>
      </c>
      <c r="E74">
        <v>6</v>
      </c>
      <c r="F74">
        <v>2</v>
      </c>
      <c r="G74">
        <v>5</v>
      </c>
    </row>
    <row r="75" spans="2:7" x14ac:dyDescent="0.2">
      <c r="B75">
        <v>4</v>
      </c>
      <c r="C75">
        <v>68</v>
      </c>
      <c r="D75">
        <v>4</v>
      </c>
      <c r="E75">
        <v>3</v>
      </c>
      <c r="F75">
        <v>1</v>
      </c>
      <c r="G75">
        <v>7</v>
      </c>
    </row>
    <row r="76" spans="2:7" x14ac:dyDescent="0.2">
      <c r="B76">
        <v>3</v>
      </c>
      <c r="C76">
        <v>69</v>
      </c>
      <c r="D76">
        <v>4</v>
      </c>
      <c r="E76">
        <v>4</v>
      </c>
      <c r="F76">
        <v>7</v>
      </c>
      <c r="G76">
        <v>2</v>
      </c>
    </row>
    <row r="77" spans="2:7" x14ac:dyDescent="0.2">
      <c r="B77">
        <v>1</v>
      </c>
      <c r="C77">
        <v>70</v>
      </c>
      <c r="D77">
        <v>9</v>
      </c>
      <c r="E77">
        <v>0</v>
      </c>
      <c r="F77">
        <v>3</v>
      </c>
      <c r="G77">
        <v>4</v>
      </c>
    </row>
    <row r="78" spans="2:7" x14ac:dyDescent="0.2">
      <c r="B78">
        <v>1</v>
      </c>
      <c r="C78">
        <v>71</v>
      </c>
      <c r="D78">
        <v>3</v>
      </c>
      <c r="E78">
        <v>4</v>
      </c>
      <c r="F78">
        <v>2</v>
      </c>
      <c r="G78">
        <v>2</v>
      </c>
    </row>
    <row r="79" spans="2:7" x14ac:dyDescent="0.2">
      <c r="B79">
        <v>2</v>
      </c>
      <c r="C79">
        <v>72</v>
      </c>
      <c r="D79">
        <v>2</v>
      </c>
      <c r="E79">
        <v>9</v>
      </c>
      <c r="F79">
        <v>9</v>
      </c>
      <c r="G79">
        <v>7</v>
      </c>
    </row>
    <row r="80" spans="2:7" x14ac:dyDescent="0.2">
      <c r="B80">
        <v>1</v>
      </c>
      <c r="C80">
        <v>73</v>
      </c>
      <c r="D80">
        <v>2</v>
      </c>
      <c r="E80">
        <v>2</v>
      </c>
      <c r="F80">
        <v>1</v>
      </c>
      <c r="G80">
        <v>2</v>
      </c>
    </row>
    <row r="81" spans="2:7" x14ac:dyDescent="0.2">
      <c r="B81">
        <v>3</v>
      </c>
      <c r="C81">
        <v>74</v>
      </c>
      <c r="D81">
        <v>5</v>
      </c>
      <c r="E81">
        <v>8</v>
      </c>
      <c r="F81">
        <v>10</v>
      </c>
      <c r="G81">
        <v>0</v>
      </c>
    </row>
    <row r="82" spans="2:7" x14ac:dyDescent="0.2">
      <c r="B82">
        <v>2</v>
      </c>
      <c r="C82">
        <v>75</v>
      </c>
      <c r="D82">
        <v>5</v>
      </c>
      <c r="E82">
        <v>9</v>
      </c>
      <c r="F82">
        <v>1</v>
      </c>
      <c r="G82">
        <v>2</v>
      </c>
    </row>
    <row r="83" spans="2:7" x14ac:dyDescent="0.2">
      <c r="B83">
        <v>4</v>
      </c>
      <c r="C83">
        <v>76</v>
      </c>
      <c r="D83">
        <v>9</v>
      </c>
      <c r="E83">
        <v>9</v>
      </c>
      <c r="F83">
        <v>2</v>
      </c>
      <c r="G83">
        <v>7</v>
      </c>
    </row>
    <row r="84" spans="2:7" x14ac:dyDescent="0.2">
      <c r="B84">
        <v>1</v>
      </c>
      <c r="C84">
        <v>77</v>
      </c>
      <c r="D84">
        <v>2</v>
      </c>
      <c r="E84">
        <v>0</v>
      </c>
      <c r="F84">
        <v>0</v>
      </c>
      <c r="G84">
        <v>0</v>
      </c>
    </row>
    <row r="85" spans="2:7" x14ac:dyDescent="0.2">
      <c r="B85">
        <v>2</v>
      </c>
      <c r="C85">
        <v>78</v>
      </c>
      <c r="D85">
        <v>7</v>
      </c>
      <c r="E85">
        <v>8</v>
      </c>
      <c r="F85">
        <v>6</v>
      </c>
      <c r="G85">
        <v>5</v>
      </c>
    </row>
    <row r="86" spans="2:7" x14ac:dyDescent="0.2">
      <c r="B86">
        <v>2</v>
      </c>
      <c r="C86">
        <v>79</v>
      </c>
      <c r="D86">
        <v>2</v>
      </c>
      <c r="E86">
        <v>4</v>
      </c>
      <c r="F86">
        <v>2</v>
      </c>
      <c r="G86">
        <v>3</v>
      </c>
    </row>
    <row r="87" spans="2:7" x14ac:dyDescent="0.2">
      <c r="B87">
        <v>4</v>
      </c>
      <c r="C87">
        <v>80</v>
      </c>
      <c r="D87">
        <v>0</v>
      </c>
      <c r="E87">
        <v>0</v>
      </c>
      <c r="F87">
        <v>2</v>
      </c>
      <c r="G8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8D98-BE96-4557-B747-867443D12855}">
  <dimension ref="B5:D26"/>
  <sheetViews>
    <sheetView workbookViewId="0">
      <selection activeCell="G18" sqref="G18"/>
    </sheetView>
  </sheetViews>
  <sheetFormatPr defaultRowHeight="12.75" x14ac:dyDescent="0.2"/>
  <cols>
    <col min="2" max="2" width="11.140625" customWidth="1"/>
  </cols>
  <sheetData>
    <row r="5" spans="2:4" x14ac:dyDescent="0.2">
      <c r="B5" t="s">
        <v>64</v>
      </c>
      <c r="C5" t="s">
        <v>24</v>
      </c>
      <c r="D5" t="s">
        <v>25</v>
      </c>
    </row>
    <row r="6" spans="2:4" x14ac:dyDescent="0.2">
      <c r="B6" t="s">
        <v>26</v>
      </c>
      <c r="C6">
        <v>40.700000000000003</v>
      </c>
      <c r="D6">
        <v>73.900000000000006</v>
      </c>
    </row>
    <row r="7" spans="2:4" x14ac:dyDescent="0.2">
      <c r="B7" t="s">
        <v>27</v>
      </c>
      <c r="C7">
        <v>42.3</v>
      </c>
      <c r="D7">
        <v>71</v>
      </c>
    </row>
    <row r="8" spans="2:4" x14ac:dyDescent="0.2">
      <c r="B8" t="s">
        <v>28</v>
      </c>
      <c r="C8">
        <v>40</v>
      </c>
      <c r="D8">
        <v>75.099999999999994</v>
      </c>
    </row>
    <row r="9" spans="2:4" x14ac:dyDescent="0.2">
      <c r="B9" t="s">
        <v>29</v>
      </c>
      <c r="C9">
        <v>35.200000000000003</v>
      </c>
      <c r="D9">
        <v>80.8</v>
      </c>
    </row>
    <row r="10" spans="2:4" x14ac:dyDescent="0.2">
      <c r="B10" t="s">
        <v>30</v>
      </c>
      <c r="C10">
        <v>33.799999999999997</v>
      </c>
      <c r="D10">
        <v>84.4</v>
      </c>
    </row>
    <row r="11" spans="2:4" x14ac:dyDescent="0.2">
      <c r="B11" t="s">
        <v>31</v>
      </c>
      <c r="C11">
        <v>30</v>
      </c>
      <c r="D11">
        <v>89.9</v>
      </c>
    </row>
    <row r="12" spans="2:4" x14ac:dyDescent="0.2">
      <c r="B12" t="s">
        <v>32</v>
      </c>
      <c r="C12">
        <v>25.8</v>
      </c>
      <c r="D12">
        <v>80.2</v>
      </c>
    </row>
    <row r="13" spans="2:4" x14ac:dyDescent="0.2">
      <c r="B13" t="s">
        <v>33</v>
      </c>
      <c r="C13">
        <v>32.799999999999997</v>
      </c>
      <c r="D13">
        <v>96.8</v>
      </c>
    </row>
    <row r="14" spans="2:4" x14ac:dyDescent="0.2">
      <c r="B14" t="s">
        <v>34</v>
      </c>
      <c r="C14">
        <v>29.8</v>
      </c>
      <c r="D14">
        <v>95.4</v>
      </c>
    </row>
    <row r="15" spans="2:4" x14ac:dyDescent="0.2">
      <c r="B15" t="s">
        <v>35</v>
      </c>
      <c r="C15">
        <v>41.8</v>
      </c>
      <c r="D15">
        <v>87.7</v>
      </c>
    </row>
    <row r="16" spans="2:4" x14ac:dyDescent="0.2">
      <c r="B16" t="s">
        <v>36</v>
      </c>
      <c r="C16">
        <v>42.4</v>
      </c>
      <c r="D16">
        <v>83.1</v>
      </c>
    </row>
    <row r="17" spans="2:4" x14ac:dyDescent="0.2">
      <c r="B17" t="s">
        <v>37</v>
      </c>
      <c r="C17">
        <v>41.5</v>
      </c>
      <c r="D17">
        <v>81.7</v>
      </c>
    </row>
    <row r="18" spans="2:4" x14ac:dyDescent="0.2">
      <c r="B18" t="s">
        <v>38</v>
      </c>
      <c r="C18">
        <v>39.799999999999997</v>
      </c>
      <c r="D18">
        <v>86.1</v>
      </c>
    </row>
    <row r="19" spans="2:4" x14ac:dyDescent="0.2">
      <c r="B19" t="s">
        <v>39</v>
      </c>
      <c r="C19">
        <v>39.799999999999997</v>
      </c>
      <c r="D19">
        <v>104.9</v>
      </c>
    </row>
    <row r="20" spans="2:4" x14ac:dyDescent="0.2">
      <c r="B20" t="s">
        <v>40</v>
      </c>
      <c r="C20">
        <v>45</v>
      </c>
      <c r="D20">
        <v>93.3</v>
      </c>
    </row>
    <row r="21" spans="2:4" x14ac:dyDescent="0.2">
      <c r="B21" t="s">
        <v>41</v>
      </c>
      <c r="C21">
        <v>33.5</v>
      </c>
      <c r="D21">
        <v>112.1</v>
      </c>
    </row>
    <row r="22" spans="2:4" x14ac:dyDescent="0.2">
      <c r="B22" t="s">
        <v>42</v>
      </c>
      <c r="C22">
        <v>40.799999999999997</v>
      </c>
      <c r="D22">
        <v>111.9</v>
      </c>
    </row>
    <row r="23" spans="2:4" x14ac:dyDescent="0.2">
      <c r="B23" t="s">
        <v>43</v>
      </c>
      <c r="C23">
        <v>34.1</v>
      </c>
      <c r="D23">
        <v>118.4</v>
      </c>
    </row>
    <row r="24" spans="2:4" x14ac:dyDescent="0.2">
      <c r="B24" t="s">
        <v>44</v>
      </c>
      <c r="C24">
        <v>37.799999999999997</v>
      </c>
      <c r="D24">
        <v>122.6</v>
      </c>
    </row>
    <row r="25" spans="2:4" x14ac:dyDescent="0.2">
      <c r="B25" t="s">
        <v>45</v>
      </c>
      <c r="C25">
        <v>32.799999999999997</v>
      </c>
      <c r="D25">
        <v>117.1</v>
      </c>
    </row>
    <row r="26" spans="2:4" x14ac:dyDescent="0.2">
      <c r="B26" t="s">
        <v>46</v>
      </c>
      <c r="C26">
        <v>41.6</v>
      </c>
      <c r="D26">
        <v>122.4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CAE8-CC31-47D7-8467-A2480E8A18C3}">
  <dimension ref="C5:J47"/>
  <sheetViews>
    <sheetView topLeftCell="B1" workbookViewId="0">
      <selection activeCell="J11" sqref="J11"/>
    </sheetView>
  </sheetViews>
  <sheetFormatPr defaultRowHeight="12.75" x14ac:dyDescent="0.2"/>
  <cols>
    <col min="3" max="3" width="10.7109375" customWidth="1"/>
    <col min="5" max="5" width="13.42578125" customWidth="1"/>
    <col min="8" max="8" width="25.42578125" customWidth="1"/>
    <col min="9" max="9" width="19.140625" customWidth="1"/>
    <col min="10" max="10" width="11.28515625" bestFit="1" customWidth="1"/>
  </cols>
  <sheetData>
    <row r="5" spans="3:10" x14ac:dyDescent="0.2">
      <c r="C5" t="s">
        <v>49</v>
      </c>
      <c r="D5" t="s">
        <v>48</v>
      </c>
      <c r="E5" t="s">
        <v>47</v>
      </c>
    </row>
    <row r="6" spans="3:10" x14ac:dyDescent="0.2">
      <c r="C6">
        <v>45856827</v>
      </c>
      <c r="D6" s="3">
        <v>188272</v>
      </c>
      <c r="E6">
        <v>30</v>
      </c>
      <c r="H6" t="s">
        <v>65</v>
      </c>
    </row>
    <row r="7" spans="3:10" x14ac:dyDescent="0.2">
      <c r="C7">
        <v>29099936</v>
      </c>
      <c r="D7" s="3">
        <v>55663</v>
      </c>
      <c r="E7">
        <v>31</v>
      </c>
      <c r="H7" t="s">
        <v>66</v>
      </c>
    </row>
    <row r="8" spans="3:10" x14ac:dyDescent="0.2">
      <c r="C8">
        <v>4639128</v>
      </c>
      <c r="D8" s="3">
        <v>50895</v>
      </c>
      <c r="E8">
        <v>29</v>
      </c>
      <c r="H8" t="s">
        <v>67</v>
      </c>
    </row>
    <row r="9" spans="3:10" x14ac:dyDescent="0.2">
      <c r="C9">
        <v>72647981</v>
      </c>
      <c r="D9" s="3">
        <v>171541</v>
      </c>
      <c r="E9">
        <v>34</v>
      </c>
    </row>
    <row r="10" spans="3:10" ht="13.5" thickBot="1" x14ac:dyDescent="0.25">
      <c r="C10">
        <v>94270333</v>
      </c>
      <c r="D10" s="3">
        <v>178939</v>
      </c>
      <c r="E10">
        <v>10</v>
      </c>
      <c r="H10" s="6" t="s">
        <v>49</v>
      </c>
      <c r="I10" s="7" t="s">
        <v>48</v>
      </c>
      <c r="J10" s="8" t="s">
        <v>47</v>
      </c>
    </row>
    <row r="11" spans="3:10" ht="13.5" thickTop="1" x14ac:dyDescent="0.2">
      <c r="C11">
        <v>49505709</v>
      </c>
      <c r="D11" s="3">
        <v>85323</v>
      </c>
      <c r="E11">
        <v>15</v>
      </c>
      <c r="H11" s="9">
        <v>59654577</v>
      </c>
      <c r="I11">
        <f>VLOOKUP(H11,Hr[#All],MATCH(I10,Hr[[#All],[Salary]],0),0)</f>
        <v>59654577</v>
      </c>
      <c r="J11">
        <f>VLOOKUP(H11,Hr[#All],MATCH(J10,Hr[#Headers],0),0)</f>
        <v>4</v>
      </c>
    </row>
    <row r="12" spans="3:10" x14ac:dyDescent="0.2">
      <c r="C12">
        <v>11741046</v>
      </c>
      <c r="D12" s="3">
        <v>190165</v>
      </c>
      <c r="E12">
        <v>11</v>
      </c>
    </row>
    <row r="13" spans="3:10" x14ac:dyDescent="0.2">
      <c r="C13">
        <v>21281615</v>
      </c>
      <c r="D13" s="3">
        <v>88839</v>
      </c>
      <c r="E13">
        <v>15</v>
      </c>
    </row>
    <row r="14" spans="3:10" x14ac:dyDescent="0.2">
      <c r="C14">
        <v>20143706</v>
      </c>
      <c r="D14" s="3">
        <v>69328</v>
      </c>
      <c r="E14">
        <v>39</v>
      </c>
    </row>
    <row r="15" spans="3:10" x14ac:dyDescent="0.2">
      <c r="C15">
        <v>44631675</v>
      </c>
      <c r="D15" s="3">
        <v>150854</v>
      </c>
      <c r="E15">
        <v>10</v>
      </c>
    </row>
    <row r="16" spans="3:10" x14ac:dyDescent="0.2">
      <c r="C16">
        <v>43380927</v>
      </c>
      <c r="D16" s="3">
        <v>120902</v>
      </c>
      <c r="E16">
        <v>24</v>
      </c>
    </row>
    <row r="17" spans="3:5" x14ac:dyDescent="0.2">
      <c r="C17">
        <v>59654577</v>
      </c>
      <c r="D17" s="3">
        <v>114149</v>
      </c>
      <c r="E17">
        <v>4</v>
      </c>
    </row>
    <row r="18" spans="3:5" x14ac:dyDescent="0.2">
      <c r="C18">
        <v>84765908</v>
      </c>
      <c r="D18" s="3">
        <v>90555</v>
      </c>
      <c r="E18">
        <v>31</v>
      </c>
    </row>
    <row r="19" spans="3:5" x14ac:dyDescent="0.2">
      <c r="C19">
        <v>5620154</v>
      </c>
      <c r="D19" s="3">
        <v>123553</v>
      </c>
      <c r="E19">
        <v>33</v>
      </c>
    </row>
    <row r="20" spans="3:5" x14ac:dyDescent="0.2">
      <c r="C20">
        <v>7406159</v>
      </c>
      <c r="D20" s="3">
        <v>194059</v>
      </c>
      <c r="E20">
        <v>25</v>
      </c>
    </row>
    <row r="21" spans="3:5" x14ac:dyDescent="0.2">
      <c r="C21">
        <v>47927178</v>
      </c>
      <c r="D21" s="3">
        <v>84381</v>
      </c>
      <c r="E21">
        <v>16</v>
      </c>
    </row>
    <row r="22" spans="3:5" x14ac:dyDescent="0.2">
      <c r="C22">
        <v>8838256</v>
      </c>
      <c r="D22" s="3">
        <v>86975</v>
      </c>
      <c r="E22">
        <v>19</v>
      </c>
    </row>
    <row r="23" spans="3:5" x14ac:dyDescent="0.2">
      <c r="C23">
        <v>12696373</v>
      </c>
      <c r="D23" s="3">
        <v>68813</v>
      </c>
      <c r="E23">
        <v>40</v>
      </c>
    </row>
    <row r="24" spans="3:5" x14ac:dyDescent="0.2">
      <c r="C24">
        <v>3644626</v>
      </c>
      <c r="D24" s="3">
        <v>51565</v>
      </c>
      <c r="E24">
        <v>27</v>
      </c>
    </row>
    <row r="25" spans="3:5" x14ac:dyDescent="0.2">
      <c r="C25">
        <v>5544349</v>
      </c>
      <c r="D25" s="3">
        <v>156446</v>
      </c>
      <c r="E25">
        <v>27</v>
      </c>
    </row>
    <row r="26" spans="3:5" x14ac:dyDescent="0.2">
      <c r="C26">
        <v>62909768</v>
      </c>
      <c r="D26" s="3">
        <v>135109</v>
      </c>
      <c r="E26">
        <v>29</v>
      </c>
    </row>
    <row r="27" spans="3:5" x14ac:dyDescent="0.2">
      <c r="C27">
        <v>54317026</v>
      </c>
      <c r="D27" s="3">
        <v>140871</v>
      </c>
      <c r="E27">
        <v>20</v>
      </c>
    </row>
    <row r="28" spans="3:5" x14ac:dyDescent="0.2">
      <c r="C28">
        <v>64162206</v>
      </c>
      <c r="D28" s="3">
        <v>170032</v>
      </c>
      <c r="E28">
        <v>10</v>
      </c>
    </row>
    <row r="29" spans="3:5" x14ac:dyDescent="0.2">
      <c r="C29">
        <v>54636987</v>
      </c>
      <c r="D29" s="3">
        <v>61359</v>
      </c>
      <c r="E29">
        <v>8</v>
      </c>
    </row>
    <row r="30" spans="3:5" x14ac:dyDescent="0.2">
      <c r="C30">
        <v>6529727</v>
      </c>
      <c r="D30" s="3">
        <v>190464</v>
      </c>
      <c r="E30">
        <v>14</v>
      </c>
    </row>
    <row r="31" spans="3:5" x14ac:dyDescent="0.2">
      <c r="C31">
        <v>40407549</v>
      </c>
      <c r="D31" s="3">
        <v>172230</v>
      </c>
      <c r="E31">
        <v>31</v>
      </c>
    </row>
    <row r="32" spans="3:5" x14ac:dyDescent="0.2">
      <c r="C32">
        <v>57816494</v>
      </c>
      <c r="D32" s="3">
        <v>195399</v>
      </c>
      <c r="E32">
        <v>28</v>
      </c>
    </row>
    <row r="33" spans="3:5" x14ac:dyDescent="0.2">
      <c r="C33">
        <v>32776673</v>
      </c>
      <c r="D33" s="3">
        <v>187702</v>
      </c>
      <c r="E33">
        <v>32</v>
      </c>
    </row>
    <row r="34" spans="3:5" x14ac:dyDescent="0.2">
      <c r="C34">
        <v>14239910</v>
      </c>
      <c r="D34" s="3">
        <v>196843</v>
      </c>
      <c r="E34">
        <v>28</v>
      </c>
    </row>
    <row r="35" spans="3:5" x14ac:dyDescent="0.2">
      <c r="C35">
        <v>62867501</v>
      </c>
      <c r="D35" s="3">
        <v>121211</v>
      </c>
      <c r="E35">
        <v>26</v>
      </c>
    </row>
    <row r="36" spans="3:5" x14ac:dyDescent="0.2">
      <c r="C36">
        <v>39212594</v>
      </c>
      <c r="D36" s="3">
        <v>149368</v>
      </c>
      <c r="E36">
        <v>8</v>
      </c>
    </row>
    <row r="37" spans="3:5" x14ac:dyDescent="0.2">
      <c r="C37">
        <v>22050032</v>
      </c>
      <c r="D37" s="3">
        <v>71602</v>
      </c>
      <c r="E37">
        <v>2</v>
      </c>
    </row>
    <row r="38" spans="3:5" x14ac:dyDescent="0.2">
      <c r="C38">
        <v>66841312</v>
      </c>
      <c r="D38" s="3">
        <v>138800</v>
      </c>
      <c r="E38">
        <v>4</v>
      </c>
    </row>
    <row r="39" spans="3:5" x14ac:dyDescent="0.2">
      <c r="C39">
        <v>66395645</v>
      </c>
      <c r="D39" s="3">
        <v>89334</v>
      </c>
      <c r="E39">
        <v>0</v>
      </c>
    </row>
    <row r="40" spans="3:5" x14ac:dyDescent="0.2">
      <c r="C40">
        <v>89464298</v>
      </c>
      <c r="D40" s="3">
        <v>131260</v>
      </c>
      <c r="E40">
        <v>25</v>
      </c>
    </row>
    <row r="41" spans="3:5" x14ac:dyDescent="0.2">
      <c r="C41">
        <v>48968487</v>
      </c>
      <c r="D41" s="3">
        <v>140354</v>
      </c>
      <c r="E41">
        <v>1</v>
      </c>
    </row>
    <row r="42" spans="3:5" x14ac:dyDescent="0.2">
      <c r="C42">
        <v>35629192</v>
      </c>
      <c r="D42" s="3">
        <v>194357</v>
      </c>
      <c r="E42">
        <v>28</v>
      </c>
    </row>
    <row r="43" spans="3:5" x14ac:dyDescent="0.2">
      <c r="C43">
        <v>29110262</v>
      </c>
      <c r="D43" s="3">
        <v>160458</v>
      </c>
      <c r="E43">
        <v>7</v>
      </c>
    </row>
    <row r="44" spans="3:5" x14ac:dyDescent="0.2">
      <c r="C44">
        <v>6053307</v>
      </c>
      <c r="D44" s="3">
        <v>85391</v>
      </c>
      <c r="E44">
        <v>21</v>
      </c>
    </row>
    <row r="45" spans="3:5" x14ac:dyDescent="0.2">
      <c r="C45">
        <v>61435949</v>
      </c>
      <c r="D45" s="3">
        <v>112828</v>
      </c>
      <c r="E45">
        <v>25</v>
      </c>
    </row>
    <row r="46" spans="3:5" x14ac:dyDescent="0.2">
      <c r="C46">
        <v>79801882</v>
      </c>
      <c r="D46" s="3">
        <v>163027</v>
      </c>
      <c r="E46">
        <v>9</v>
      </c>
    </row>
    <row r="47" spans="3:5" x14ac:dyDescent="0.2">
      <c r="C47">
        <v>53429314</v>
      </c>
      <c r="D47" s="3">
        <v>120803</v>
      </c>
      <c r="E47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30B7-D082-4163-88E1-EAA5EB5BCD98}">
  <dimension ref="E6:F16"/>
  <sheetViews>
    <sheetView workbookViewId="0">
      <selection activeCell="E8" sqref="E8"/>
    </sheetView>
  </sheetViews>
  <sheetFormatPr defaultRowHeight="12.75" x14ac:dyDescent="0.2"/>
  <sheetData>
    <row r="6" spans="5:6" x14ac:dyDescent="0.2">
      <c r="F6" t="s">
        <v>48</v>
      </c>
    </row>
    <row r="7" spans="5:6" x14ac:dyDescent="0.2">
      <c r="E7" t="s">
        <v>50</v>
      </c>
      <c r="F7">
        <v>150</v>
      </c>
    </row>
    <row r="8" spans="5:6" x14ac:dyDescent="0.2">
      <c r="E8" t="s">
        <v>51</v>
      </c>
      <c r="F8">
        <v>127</v>
      </c>
    </row>
    <row r="9" spans="5:6" x14ac:dyDescent="0.2">
      <c r="E9" t="s">
        <v>52</v>
      </c>
      <c r="F9">
        <v>95</v>
      </c>
    </row>
    <row r="10" spans="5:6" x14ac:dyDescent="0.2">
      <c r="E10" t="s">
        <v>53</v>
      </c>
      <c r="F10">
        <v>137</v>
      </c>
    </row>
    <row r="11" spans="5:6" x14ac:dyDescent="0.2">
      <c r="E11" t="s">
        <v>54</v>
      </c>
      <c r="F11">
        <v>127</v>
      </c>
    </row>
    <row r="12" spans="5:6" x14ac:dyDescent="0.2">
      <c r="E12" t="s">
        <v>55</v>
      </c>
      <c r="F12">
        <v>132</v>
      </c>
    </row>
    <row r="13" spans="5:6" x14ac:dyDescent="0.2">
      <c r="E13" t="s">
        <v>56</v>
      </c>
      <c r="F13">
        <v>140</v>
      </c>
    </row>
    <row r="14" spans="5:6" x14ac:dyDescent="0.2">
      <c r="E14" t="s">
        <v>57</v>
      </c>
      <c r="F14">
        <v>118</v>
      </c>
    </row>
    <row r="15" spans="5:6" x14ac:dyDescent="0.2">
      <c r="E15" t="s">
        <v>58</v>
      </c>
      <c r="F15">
        <v>125</v>
      </c>
    </row>
    <row r="16" spans="5:6" x14ac:dyDescent="0.2">
      <c r="E16" t="s">
        <v>59</v>
      </c>
      <c r="F16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3361-2562-402B-A6A3-76792A029D2F}">
  <dimension ref="D9:E19"/>
  <sheetViews>
    <sheetView workbookViewId="0">
      <selection activeCell="F9" sqref="F9"/>
    </sheetView>
  </sheetViews>
  <sheetFormatPr defaultRowHeight="12.75" x14ac:dyDescent="0.2"/>
  <sheetData>
    <row r="9" spans="4:5" x14ac:dyDescent="0.2">
      <c r="E9" t="s">
        <v>63</v>
      </c>
    </row>
    <row r="10" spans="4:5" x14ac:dyDescent="0.2">
      <c r="D10" t="s">
        <v>50</v>
      </c>
      <c r="E10">
        <v>43</v>
      </c>
    </row>
    <row r="11" spans="4:5" x14ac:dyDescent="0.2">
      <c r="D11" t="s">
        <v>51</v>
      </c>
      <c r="E11">
        <v>34</v>
      </c>
    </row>
    <row r="12" spans="4:5" x14ac:dyDescent="0.2">
      <c r="D12" t="s">
        <v>52</v>
      </c>
      <c r="E12">
        <v>49</v>
      </c>
    </row>
    <row r="13" spans="4:5" x14ac:dyDescent="0.2">
      <c r="D13" t="s">
        <v>53</v>
      </c>
      <c r="E13">
        <v>37</v>
      </c>
    </row>
    <row r="14" spans="4:5" x14ac:dyDescent="0.2">
      <c r="D14" t="s">
        <v>55</v>
      </c>
      <c r="E14">
        <v>36</v>
      </c>
    </row>
    <row r="15" spans="4:5" x14ac:dyDescent="0.2">
      <c r="D15" t="s">
        <v>54</v>
      </c>
      <c r="E15">
        <v>48</v>
      </c>
    </row>
    <row r="16" spans="4:5" x14ac:dyDescent="0.2">
      <c r="D16" t="s">
        <v>56</v>
      </c>
      <c r="E16">
        <v>50</v>
      </c>
    </row>
    <row r="17" spans="4:5" x14ac:dyDescent="0.2">
      <c r="D17" t="s">
        <v>58</v>
      </c>
      <c r="E17">
        <v>42</v>
      </c>
    </row>
    <row r="18" spans="4:5" x14ac:dyDescent="0.2">
      <c r="D18" t="s">
        <v>57</v>
      </c>
      <c r="E18">
        <v>59</v>
      </c>
    </row>
    <row r="19" spans="4:5" x14ac:dyDescent="0.2">
      <c r="D19" t="s">
        <v>59</v>
      </c>
      <c r="E19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167D-35DB-4DE5-82B0-4A6DF4D2E155}">
  <dimension ref="F7:G17"/>
  <sheetViews>
    <sheetView workbookViewId="0">
      <selection activeCell="F7" sqref="F7:G17"/>
    </sheetView>
  </sheetViews>
  <sheetFormatPr defaultRowHeight="12.75" x14ac:dyDescent="0.2"/>
  <sheetData>
    <row r="7" spans="6:7" x14ac:dyDescent="0.2">
      <c r="G7" t="s">
        <v>47</v>
      </c>
    </row>
    <row r="8" spans="6:7" x14ac:dyDescent="0.2">
      <c r="F8" t="s">
        <v>50</v>
      </c>
      <c r="G8">
        <v>30.099999999999998</v>
      </c>
    </row>
    <row r="9" spans="6:7" x14ac:dyDescent="0.2">
      <c r="F9" t="s">
        <v>51</v>
      </c>
      <c r="G9">
        <v>23.799999999999997</v>
      </c>
    </row>
    <row r="10" spans="6:7" x14ac:dyDescent="0.2">
      <c r="F10" t="s">
        <v>53</v>
      </c>
      <c r="G10">
        <v>20</v>
      </c>
    </row>
    <row r="11" spans="6:7" x14ac:dyDescent="0.2">
      <c r="F11" t="s">
        <v>52</v>
      </c>
      <c r="G11">
        <v>25.9</v>
      </c>
    </row>
    <row r="12" spans="6:7" x14ac:dyDescent="0.2">
      <c r="F12" t="s">
        <v>54</v>
      </c>
      <c r="G12">
        <v>25.2</v>
      </c>
    </row>
    <row r="13" spans="6:7" x14ac:dyDescent="0.2">
      <c r="F13" t="s">
        <v>55</v>
      </c>
      <c r="G13">
        <v>23</v>
      </c>
    </row>
    <row r="14" spans="6:7" x14ac:dyDescent="0.2">
      <c r="F14" t="s">
        <v>56</v>
      </c>
      <c r="G14">
        <v>35</v>
      </c>
    </row>
    <row r="15" spans="6:7" x14ac:dyDescent="0.2">
      <c r="F15" t="s">
        <v>58</v>
      </c>
      <c r="G15">
        <v>29.4</v>
      </c>
    </row>
    <row r="16" spans="6:7" x14ac:dyDescent="0.2">
      <c r="F16" t="s">
        <v>57</v>
      </c>
      <c r="G16">
        <v>41.3</v>
      </c>
    </row>
    <row r="17" spans="6:7" x14ac:dyDescent="0.2">
      <c r="F17" t="s">
        <v>59</v>
      </c>
      <c r="G17">
        <v>35.699999999999996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28D9-839D-40BA-A522-16F45BEF671E}">
  <dimension ref="F13:I23"/>
  <sheetViews>
    <sheetView workbookViewId="0">
      <selection activeCell="K23" sqref="K23"/>
    </sheetView>
  </sheetViews>
  <sheetFormatPr defaultRowHeight="12.75" x14ac:dyDescent="0.2"/>
  <cols>
    <col min="6" max="6" width="11.140625" customWidth="1"/>
    <col min="7" max="7" width="9.5703125" customWidth="1"/>
  </cols>
  <sheetData>
    <row r="13" spans="6:9" ht="13.5" thickBot="1" x14ac:dyDescent="0.25">
      <c r="F13" t="s">
        <v>64</v>
      </c>
      <c r="G13" t="s">
        <v>60</v>
      </c>
      <c r="H13" t="s">
        <v>61</v>
      </c>
      <c r="I13" t="s">
        <v>62</v>
      </c>
    </row>
    <row r="14" spans="6:9" ht="13.5" thickBot="1" x14ac:dyDescent="0.25">
      <c r="F14" s="4" t="s">
        <v>50</v>
      </c>
      <c r="G14" s="5">
        <f>VLOOKUP(F14,looksal,2,0)</f>
        <v>150</v>
      </c>
      <c r="H14" s="5">
        <f>VLOOKUP(F14,lookage,2,0)</f>
        <v>43</v>
      </c>
      <c r="I14">
        <f>VLOOKUP(F14,lookexp,2,0)</f>
        <v>30.099999999999998</v>
      </c>
    </row>
    <row r="15" spans="6:9" ht="13.5" thickBot="1" x14ac:dyDescent="0.25">
      <c r="F15" s="4" t="s">
        <v>51</v>
      </c>
      <c r="G15" s="5">
        <f>VLOOKUP(F15,looksal,2,0)</f>
        <v>127</v>
      </c>
      <c r="H15" s="5">
        <f>VLOOKUP(F15,lookage,2,0)</f>
        <v>34</v>
      </c>
      <c r="I15">
        <f>VLOOKUP(F15,lookexp,2,0)</f>
        <v>23.799999999999997</v>
      </c>
    </row>
    <row r="16" spans="6:9" ht="13.5" thickBot="1" x14ac:dyDescent="0.25">
      <c r="F16" s="4" t="s">
        <v>52</v>
      </c>
      <c r="G16" s="5">
        <f>VLOOKUP(F16,looksal,2,0)</f>
        <v>95</v>
      </c>
      <c r="H16" s="5">
        <f>VLOOKUP(F16,lookage,2,0)</f>
        <v>49</v>
      </c>
      <c r="I16">
        <f>VLOOKUP(F16,lookexp,2,0)</f>
        <v>25.9</v>
      </c>
    </row>
    <row r="17" spans="6:9" ht="13.5" thickBot="1" x14ac:dyDescent="0.25">
      <c r="F17" s="4" t="s">
        <v>53</v>
      </c>
      <c r="G17" s="5">
        <f>VLOOKUP(F17,looksal,2,0)</f>
        <v>137</v>
      </c>
      <c r="H17" s="5">
        <f>VLOOKUP(F17,lookage,2,0)</f>
        <v>37</v>
      </c>
      <c r="I17">
        <f>VLOOKUP(F17,lookexp,2,0)</f>
        <v>20</v>
      </c>
    </row>
    <row r="18" spans="6:9" ht="13.5" thickBot="1" x14ac:dyDescent="0.25">
      <c r="F18" s="4" t="s">
        <v>54</v>
      </c>
      <c r="G18" s="5">
        <f>VLOOKUP(F18,looksal,2,0)</f>
        <v>127</v>
      </c>
      <c r="H18" s="5">
        <f>VLOOKUP(F18,lookage,2,0)</f>
        <v>48</v>
      </c>
      <c r="I18">
        <f>VLOOKUP(F18,lookexp,2,0)</f>
        <v>25.2</v>
      </c>
    </row>
    <row r="19" spans="6:9" ht="13.5" thickBot="1" x14ac:dyDescent="0.25">
      <c r="F19" s="4" t="s">
        <v>55</v>
      </c>
      <c r="G19" s="5">
        <f>VLOOKUP(F19,looksal,2,0)</f>
        <v>132</v>
      </c>
      <c r="H19" s="5">
        <f>VLOOKUP(F19,lookage,2,0)</f>
        <v>36</v>
      </c>
      <c r="I19">
        <f>VLOOKUP(F19,lookexp,2,0)</f>
        <v>23</v>
      </c>
    </row>
    <row r="20" spans="6:9" ht="13.5" thickBot="1" x14ac:dyDescent="0.25">
      <c r="F20" s="4" t="s">
        <v>56</v>
      </c>
      <c r="G20" s="5">
        <f>VLOOKUP(F20,looksal,2,0)</f>
        <v>140</v>
      </c>
      <c r="H20" s="5">
        <f>VLOOKUP(F20,lookage,2,0)</f>
        <v>50</v>
      </c>
      <c r="I20">
        <f>VLOOKUP(F20,lookexp,2,0)</f>
        <v>35</v>
      </c>
    </row>
    <row r="21" spans="6:9" ht="13.5" thickBot="1" x14ac:dyDescent="0.25">
      <c r="F21" s="4" t="s">
        <v>57</v>
      </c>
      <c r="G21" s="5">
        <f>VLOOKUP(F21,looksal,2,0)</f>
        <v>118</v>
      </c>
      <c r="H21" s="5">
        <f>VLOOKUP(F21,lookage,2,0)</f>
        <v>59</v>
      </c>
      <c r="I21">
        <f>VLOOKUP(F21,lookexp,2,0)</f>
        <v>41.3</v>
      </c>
    </row>
    <row r="22" spans="6:9" ht="13.5" thickBot="1" x14ac:dyDescent="0.25">
      <c r="F22" s="4" t="s">
        <v>58</v>
      </c>
      <c r="G22" s="5">
        <f>VLOOKUP(F22,looksal,2,0)</f>
        <v>125</v>
      </c>
      <c r="H22" s="5">
        <f>VLOOKUP(F22,lookage,2,0)</f>
        <v>42</v>
      </c>
      <c r="I22">
        <f>VLOOKUP(F22,lookexp,2,0)</f>
        <v>29.4</v>
      </c>
    </row>
    <row r="23" spans="6:9" ht="13.5" thickBot="1" x14ac:dyDescent="0.25">
      <c r="F23" s="4" t="s">
        <v>59</v>
      </c>
      <c r="G23" s="5">
        <f>VLOOKUP(F23,looksal,2,0)</f>
        <v>115</v>
      </c>
      <c r="H23" s="5">
        <f>VLOOKUP(F23,lookage,2,0)</f>
        <v>51</v>
      </c>
      <c r="I23">
        <f>VLOOKUP(F23,lookexp,2,0)</f>
        <v>35.699999999999996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2D0DE64E-6FB2-4DE0-9C55-2B4DDD1B6CC9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79F410ED-1C43-4E9E-9943-F9F7A9E309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9F5505-EE85-4AFD-910B-C8866855B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Sheet1</vt:lpstr>
      <vt:lpstr>Assign</vt:lpstr>
      <vt:lpstr>City data</vt:lpstr>
      <vt:lpstr>Hr</vt:lpstr>
      <vt:lpstr>Salary</vt:lpstr>
      <vt:lpstr>Age</vt:lpstr>
      <vt:lpstr>Exp</vt:lpstr>
      <vt:lpstr>Total</vt:lpstr>
      <vt:lpstr>lookage</vt:lpstr>
      <vt:lpstr>lookexp</vt:lpstr>
      <vt:lpstr>looksal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Susie</dc:creator>
  <cp:lastModifiedBy>ritesh singh</cp:lastModifiedBy>
  <dcterms:created xsi:type="dcterms:W3CDTF">2007-04-18T21:05:28Z</dcterms:created>
  <dcterms:modified xsi:type="dcterms:W3CDTF">2025-04-21T18:19:02Z</dcterms:modified>
</cp:coreProperties>
</file>