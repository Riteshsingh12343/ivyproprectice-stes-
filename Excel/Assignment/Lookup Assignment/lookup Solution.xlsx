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Assignment\Lookup Assignment\"/>
    </mc:Choice>
  </mc:AlternateContent>
  <bookViews>
    <workbookView xWindow="120" yWindow="45" windowWidth="12120" windowHeight="8580" activeTab="5"/>
  </bookViews>
  <sheets>
    <sheet name="Assign solution" sheetId="1" r:id="rId1"/>
    <sheet name="City data solution " sheetId="6" r:id="rId2"/>
    <sheet name="Ans Q3" sheetId="2" r:id="rId3"/>
    <sheet name="Ans Q4" sheetId="3" r:id="rId4"/>
    <sheet name="Hr slution " sheetId="7" r:id="rId5"/>
    <sheet name="Lookupmultiplecolumn ans" sheetId="8" r:id="rId6"/>
  </sheets>
  <definedNames>
    <definedName name="Qual">'Assign solution'!$C$4:$F$84</definedName>
    <definedName name="Satis">'Assign solution'!#REF!</definedName>
    <definedName name="solver_adj" localSheetId="0" hidden="1">'Assign solution'!$A$5:$A$84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'Assign solution'!$A$5:$A$84</definedName>
    <definedName name="solver_lhs2" localSheetId="0" hidden="1">'Assign solution'!$A$5:$A$84</definedName>
    <definedName name="solver_lhs3" localSheetId="0" hidden="1">'Assign solution'!$A$5:$A$84</definedName>
    <definedName name="solver_lin" localSheetId="0" hidden="1">2</definedName>
    <definedName name="solver_mip" localSheetId="0" hidden="1">50000</definedName>
    <definedName name="solver_mni" localSheetId="0" hidden="1">3000</definedName>
    <definedName name="solver_mrt" localSheetId="0" hidden="1">0.25</definedName>
    <definedName name="solver_neg" localSheetId="0" hidden="1">2</definedName>
    <definedName name="solver_nod" localSheetId="0" hidden="1">50000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'Assign solution'!#REF!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o" localSheetId="0" hidden="1">2</definedName>
    <definedName name="solver_rep" localSheetId="0" hidden="1">2</definedName>
    <definedName name="solver_rhs1" localSheetId="0" hidden="1">4</definedName>
    <definedName name="solver_rhs2" localSheetId="0" hidden="1">integer</definedName>
    <definedName name="solver_rhs3" localSheetId="0" hidden="1">1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1000</definedName>
    <definedName name="solver_tol" localSheetId="0" hidden="1">0.0005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62913" iterate="1"/>
</workbook>
</file>

<file path=xl/calcChain.xml><?xml version="1.0" encoding="utf-8"?>
<calcChain xmlns="http://schemas.openxmlformats.org/spreadsheetml/2006/main">
  <c r="F17" i="8" l="1"/>
  <c r="E17" i="8"/>
  <c r="D17" i="8"/>
  <c r="C17" i="8"/>
  <c r="L6" i="7" l="1"/>
  <c r="K6" i="7"/>
  <c r="I7" i="6" l="1"/>
  <c r="I6" i="6"/>
  <c r="E11" i="2" l="1"/>
  <c r="E15" i="3"/>
  <c r="E14" i="3"/>
  <c r="E13" i="3"/>
  <c r="E12" i="3"/>
  <c r="J6" i="1"/>
  <c r="J7" i="1" s="1"/>
  <c r="J6" i="6"/>
  <c r="J7" i="6"/>
</calcChain>
</file>

<file path=xl/sharedStrings.xml><?xml version="1.0" encoding="utf-8"?>
<sst xmlns="http://schemas.openxmlformats.org/spreadsheetml/2006/main" count="80" uniqueCount="67">
  <si>
    <t>Worker</t>
  </si>
  <si>
    <t>Assigned to</t>
  </si>
  <si>
    <t>Group 1</t>
  </si>
  <si>
    <t xml:space="preserve">Group 2 </t>
  </si>
  <si>
    <t xml:space="preserve">Group 3 </t>
  </si>
  <si>
    <t>Group 4</t>
  </si>
  <si>
    <t>Suitability rating</t>
  </si>
  <si>
    <t xml:space="preserve">Worker </t>
  </si>
  <si>
    <t xml:space="preserve">Group </t>
  </si>
  <si>
    <t>Rating</t>
  </si>
  <si>
    <t>No. of ads</t>
  </si>
  <si>
    <t>Price of ads</t>
  </si>
  <si>
    <t>No. of Ads</t>
  </si>
  <si>
    <t>Price of Ads</t>
  </si>
  <si>
    <t>Prevs. Slab Cost</t>
  </si>
  <si>
    <t>Lookup Value</t>
  </si>
  <si>
    <t xml:space="preserve">Part 1 </t>
  </si>
  <si>
    <t xml:space="preserve">Part 2 </t>
  </si>
  <si>
    <t xml:space="preserve">Part 3 </t>
  </si>
  <si>
    <t xml:space="preserve">Final Ans </t>
  </si>
  <si>
    <t>Prev Cost</t>
  </si>
  <si>
    <t>Remaining Ads</t>
  </si>
  <si>
    <t>Cost of Remaining Ads</t>
  </si>
  <si>
    <t>Price</t>
  </si>
  <si>
    <t>Lat</t>
  </si>
  <si>
    <t>Long</t>
  </si>
  <si>
    <t>New York</t>
  </si>
  <si>
    <t>Atlanta</t>
  </si>
  <si>
    <t>Boston</t>
  </si>
  <si>
    <t>Denver</t>
  </si>
  <si>
    <t>Philadelphia</t>
  </si>
  <si>
    <t>Charlotte</t>
  </si>
  <si>
    <t>New Orleans</t>
  </si>
  <si>
    <t>Miami</t>
  </si>
  <si>
    <t>Dallas</t>
  </si>
  <si>
    <t>Houston</t>
  </si>
  <si>
    <t>Chicago</t>
  </si>
  <si>
    <t>Detroit</t>
  </si>
  <si>
    <t>Cleveland</t>
  </si>
  <si>
    <t>Indy</t>
  </si>
  <si>
    <t>Minneapolis</t>
  </si>
  <si>
    <t>Phoenix</t>
  </si>
  <si>
    <t>Salt Lake City</t>
  </si>
  <si>
    <t>LA</t>
  </si>
  <si>
    <t>SF</t>
  </si>
  <si>
    <t>SD</t>
  </si>
  <si>
    <t>Seattle</t>
  </si>
  <si>
    <t>ID CODE</t>
  </si>
  <si>
    <t>Salary</t>
  </si>
  <si>
    <t>Experience</t>
  </si>
  <si>
    <t>TV</t>
  </si>
  <si>
    <t>Radios</t>
  </si>
  <si>
    <t>Ipods</t>
  </si>
  <si>
    <t>CD's</t>
  </si>
  <si>
    <t>Computers</t>
  </si>
  <si>
    <t>Printers</t>
  </si>
  <si>
    <t>Tom</t>
  </si>
  <si>
    <t>Dick</t>
  </si>
  <si>
    <t>Harry</t>
  </si>
  <si>
    <t>Wendy</t>
  </si>
  <si>
    <t>Charlene</t>
  </si>
  <si>
    <t>Juli</t>
  </si>
  <si>
    <t>Jami</t>
  </si>
  <si>
    <t>Vivian</t>
  </si>
  <si>
    <t>Christina</t>
  </si>
  <si>
    <t>Units sold</t>
  </si>
  <si>
    <t>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</si>
</sst>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_-[$$-409]* #,##0.00_ ;_-[$$-409]* \-#,##0.00\ ;_-[$$-409]* &quot;-&quot;??_ ;_-@_ "/>
  </numFmts>
  <fonts count="6" x14ac:knownFonts="1">
    <font>
      <sz val="10"/>
      <name val="Arial"/>
    </font>
    <font>
      <sz val="10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9"/>
      <color rgb="FF77777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2" fontId="0" fillId="0" borderId="0" xfId="0" applyNumberFormat="1"/>
    <xf numFmtId="49" fontId="3" fillId="0" borderId="1" xfId="0" applyNumberFormat="1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Fill="1" applyBorder="1"/>
    <xf numFmtId="0" fontId="3" fillId="0" borderId="1" xfId="0" applyFont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84"/>
  <sheetViews>
    <sheetView workbookViewId="0">
      <selection activeCell="J6" sqref="J6"/>
    </sheetView>
  </sheetViews>
  <sheetFormatPr defaultRowHeight="12.75" x14ac:dyDescent="0.2"/>
  <cols>
    <col min="1" max="1" width="10.5703125" customWidth="1"/>
    <col min="2" max="2" width="7" customWidth="1"/>
    <col min="4" max="5" width="8.140625" bestFit="1" customWidth="1"/>
    <col min="6" max="6" width="7.5703125" bestFit="1" customWidth="1"/>
  </cols>
  <sheetData>
    <row r="2" spans="1:10" x14ac:dyDescent="0.2">
      <c r="D2" s="1" t="s">
        <v>6</v>
      </c>
    </row>
    <row r="3" spans="1:10" x14ac:dyDescent="0.2">
      <c r="C3" t="s">
        <v>2</v>
      </c>
      <c r="D3" t="s">
        <v>3</v>
      </c>
      <c r="E3" t="s">
        <v>4</v>
      </c>
      <c r="F3" t="s">
        <v>5</v>
      </c>
    </row>
    <row r="4" spans="1:10" x14ac:dyDescent="0.2">
      <c r="A4" t="s">
        <v>1</v>
      </c>
      <c r="B4" t="s">
        <v>0</v>
      </c>
      <c r="C4">
        <v>1</v>
      </c>
      <c r="D4">
        <v>2</v>
      </c>
      <c r="E4">
        <v>3</v>
      </c>
      <c r="F4">
        <v>4</v>
      </c>
    </row>
    <row r="5" spans="1:10" x14ac:dyDescent="0.2">
      <c r="A5">
        <v>4</v>
      </c>
      <c r="B5">
        <v>1</v>
      </c>
      <c r="C5">
        <v>9</v>
      </c>
      <c r="D5">
        <v>8</v>
      </c>
      <c r="E5">
        <v>6</v>
      </c>
      <c r="F5">
        <v>8</v>
      </c>
      <c r="I5" s="1" t="s">
        <v>7</v>
      </c>
      <c r="J5">
        <v>5</v>
      </c>
    </row>
    <row r="6" spans="1:10" x14ac:dyDescent="0.2">
      <c r="A6">
        <v>1</v>
      </c>
      <c r="B6">
        <v>2</v>
      </c>
      <c r="C6">
        <v>10</v>
      </c>
      <c r="D6">
        <v>0</v>
      </c>
      <c r="E6">
        <v>5</v>
      </c>
      <c r="F6">
        <v>6</v>
      </c>
      <c r="I6" s="1" t="s">
        <v>8</v>
      </c>
      <c r="J6">
        <f>INDEX(A5:A84,MATCH(J5,B5:B84,0))</f>
        <v>2</v>
      </c>
    </row>
    <row r="7" spans="1:10" x14ac:dyDescent="0.2">
      <c r="A7">
        <v>3</v>
      </c>
      <c r="B7">
        <v>3</v>
      </c>
      <c r="C7">
        <v>5</v>
      </c>
      <c r="D7">
        <v>8</v>
      </c>
      <c r="E7">
        <v>10</v>
      </c>
      <c r="F7">
        <v>5</v>
      </c>
      <c r="I7" s="1" t="s">
        <v>9</v>
      </c>
      <c r="J7" s="2">
        <f>VLOOKUP(J5,B5:F84,MATCH(J6,B4:F4,0),0)</f>
        <v>10</v>
      </c>
    </row>
    <row r="8" spans="1:10" x14ac:dyDescent="0.2">
      <c r="A8">
        <v>1</v>
      </c>
      <c r="B8">
        <v>4</v>
      </c>
      <c r="C8">
        <v>4</v>
      </c>
      <c r="D8">
        <v>0</v>
      </c>
      <c r="E8">
        <v>5</v>
      </c>
      <c r="F8">
        <v>2</v>
      </c>
    </row>
    <row r="9" spans="1:10" x14ac:dyDescent="0.2">
      <c r="A9">
        <v>2</v>
      </c>
      <c r="B9">
        <v>5</v>
      </c>
      <c r="C9">
        <v>9</v>
      </c>
      <c r="D9">
        <v>10</v>
      </c>
      <c r="E9">
        <v>4</v>
      </c>
      <c r="F9">
        <v>5</v>
      </c>
    </row>
    <row r="10" spans="1:10" x14ac:dyDescent="0.2">
      <c r="A10">
        <v>3</v>
      </c>
      <c r="B10">
        <v>6</v>
      </c>
      <c r="C10">
        <v>5</v>
      </c>
      <c r="D10">
        <v>2</v>
      </c>
      <c r="E10">
        <v>7</v>
      </c>
      <c r="F10">
        <v>3</v>
      </c>
    </row>
    <row r="11" spans="1:10" x14ac:dyDescent="0.2">
      <c r="A11">
        <v>1</v>
      </c>
      <c r="B11">
        <v>7</v>
      </c>
      <c r="C11">
        <v>8</v>
      </c>
      <c r="D11">
        <v>3</v>
      </c>
      <c r="E11">
        <v>1</v>
      </c>
      <c r="F11">
        <v>2</v>
      </c>
    </row>
    <row r="12" spans="1:10" x14ac:dyDescent="0.2">
      <c r="A12">
        <v>3</v>
      </c>
      <c r="B12">
        <v>8</v>
      </c>
      <c r="C12">
        <v>2</v>
      </c>
      <c r="D12">
        <v>2</v>
      </c>
      <c r="E12">
        <v>9</v>
      </c>
      <c r="F12">
        <v>2</v>
      </c>
    </row>
    <row r="13" spans="1:10" x14ac:dyDescent="0.2">
      <c r="A13">
        <v>1</v>
      </c>
      <c r="B13">
        <v>9</v>
      </c>
      <c r="C13">
        <v>8</v>
      </c>
      <c r="D13">
        <v>7</v>
      </c>
      <c r="E13">
        <v>6</v>
      </c>
      <c r="F13">
        <v>3</v>
      </c>
    </row>
    <row r="14" spans="1:10" x14ac:dyDescent="0.2">
      <c r="A14">
        <v>4</v>
      </c>
      <c r="B14">
        <v>10</v>
      </c>
      <c r="C14">
        <v>7</v>
      </c>
      <c r="D14">
        <v>0</v>
      </c>
      <c r="E14">
        <v>1</v>
      </c>
      <c r="F14">
        <v>8</v>
      </c>
    </row>
    <row r="15" spans="1:10" x14ac:dyDescent="0.2">
      <c r="A15">
        <v>3</v>
      </c>
      <c r="B15">
        <v>11</v>
      </c>
      <c r="C15">
        <v>8</v>
      </c>
      <c r="D15">
        <v>1</v>
      </c>
      <c r="E15">
        <v>6</v>
      </c>
      <c r="F15">
        <v>6</v>
      </c>
    </row>
    <row r="16" spans="1:10" x14ac:dyDescent="0.2">
      <c r="A16">
        <v>2</v>
      </c>
      <c r="B16">
        <v>12</v>
      </c>
      <c r="C16">
        <v>0</v>
      </c>
      <c r="D16">
        <v>7</v>
      </c>
      <c r="E16">
        <v>1</v>
      </c>
      <c r="F16">
        <v>2</v>
      </c>
    </row>
    <row r="17" spans="1:6" x14ac:dyDescent="0.2">
      <c r="A17">
        <v>1</v>
      </c>
      <c r="B17">
        <v>13</v>
      </c>
      <c r="C17">
        <v>9</v>
      </c>
      <c r="D17">
        <v>0</v>
      </c>
      <c r="E17">
        <v>5</v>
      </c>
      <c r="F17">
        <v>4</v>
      </c>
    </row>
    <row r="18" spans="1:6" x14ac:dyDescent="0.2">
      <c r="A18">
        <v>4</v>
      </c>
      <c r="B18">
        <v>14</v>
      </c>
      <c r="C18">
        <v>9</v>
      </c>
      <c r="D18">
        <v>2</v>
      </c>
      <c r="E18">
        <v>2</v>
      </c>
      <c r="F18">
        <v>7</v>
      </c>
    </row>
    <row r="19" spans="1:6" x14ac:dyDescent="0.2">
      <c r="A19">
        <v>3</v>
      </c>
      <c r="B19">
        <v>15</v>
      </c>
      <c r="C19">
        <v>1</v>
      </c>
      <c r="D19">
        <v>3</v>
      </c>
      <c r="E19">
        <v>8</v>
      </c>
      <c r="F19">
        <v>4</v>
      </c>
    </row>
    <row r="20" spans="1:6" x14ac:dyDescent="0.2">
      <c r="A20">
        <v>1</v>
      </c>
      <c r="B20">
        <v>16</v>
      </c>
      <c r="C20">
        <v>9</v>
      </c>
      <c r="D20">
        <v>6</v>
      </c>
      <c r="E20">
        <v>4</v>
      </c>
      <c r="F20">
        <v>5</v>
      </c>
    </row>
    <row r="21" spans="1:6" x14ac:dyDescent="0.2">
      <c r="A21">
        <v>1</v>
      </c>
      <c r="B21">
        <v>17</v>
      </c>
      <c r="C21">
        <v>8</v>
      </c>
      <c r="D21">
        <v>0</v>
      </c>
      <c r="E21">
        <v>5</v>
      </c>
      <c r="F21">
        <v>0</v>
      </c>
    </row>
    <row r="22" spans="1:6" x14ac:dyDescent="0.2">
      <c r="A22">
        <v>2</v>
      </c>
      <c r="B22">
        <v>18</v>
      </c>
      <c r="C22">
        <v>6</v>
      </c>
      <c r="D22">
        <v>7</v>
      </c>
      <c r="E22">
        <v>6</v>
      </c>
      <c r="F22">
        <v>3</v>
      </c>
    </row>
    <row r="23" spans="1:6" x14ac:dyDescent="0.2">
      <c r="A23">
        <v>3</v>
      </c>
      <c r="B23">
        <v>19</v>
      </c>
      <c r="C23">
        <v>3</v>
      </c>
      <c r="D23">
        <v>4</v>
      </c>
      <c r="E23">
        <v>5</v>
      </c>
      <c r="F23">
        <v>4</v>
      </c>
    </row>
    <row r="24" spans="1:6" x14ac:dyDescent="0.2">
      <c r="A24">
        <v>2</v>
      </c>
      <c r="B24">
        <v>20</v>
      </c>
      <c r="C24">
        <v>3</v>
      </c>
      <c r="D24">
        <v>9</v>
      </c>
      <c r="E24">
        <v>4</v>
      </c>
      <c r="F24">
        <v>4</v>
      </c>
    </row>
    <row r="25" spans="1:6" x14ac:dyDescent="0.2">
      <c r="A25">
        <v>3</v>
      </c>
      <c r="B25">
        <v>21</v>
      </c>
      <c r="C25">
        <v>1</v>
      </c>
      <c r="D25">
        <v>6</v>
      </c>
      <c r="E25">
        <v>9</v>
      </c>
      <c r="F25">
        <v>1</v>
      </c>
    </row>
    <row r="26" spans="1:6" x14ac:dyDescent="0.2">
      <c r="A26">
        <v>4</v>
      </c>
      <c r="B26">
        <v>22</v>
      </c>
      <c r="C26">
        <v>5</v>
      </c>
      <c r="D26">
        <v>1</v>
      </c>
      <c r="E26">
        <v>3</v>
      </c>
      <c r="F26">
        <v>7</v>
      </c>
    </row>
    <row r="27" spans="1:6" x14ac:dyDescent="0.2">
      <c r="A27">
        <v>3</v>
      </c>
      <c r="B27">
        <v>23</v>
      </c>
      <c r="C27">
        <v>8</v>
      </c>
      <c r="D27">
        <v>7</v>
      </c>
      <c r="E27">
        <v>10</v>
      </c>
      <c r="F27">
        <v>2</v>
      </c>
    </row>
    <row r="28" spans="1:6" x14ac:dyDescent="0.2">
      <c r="A28">
        <v>3</v>
      </c>
      <c r="B28">
        <v>24</v>
      </c>
      <c r="C28">
        <v>3</v>
      </c>
      <c r="D28">
        <v>6</v>
      </c>
      <c r="E28">
        <v>4</v>
      </c>
      <c r="F28">
        <v>4</v>
      </c>
    </row>
    <row r="29" spans="1:6" x14ac:dyDescent="0.2">
      <c r="A29">
        <v>1</v>
      </c>
      <c r="B29">
        <v>25</v>
      </c>
      <c r="C29">
        <v>7</v>
      </c>
      <c r="D29">
        <v>1</v>
      </c>
      <c r="E29">
        <v>1</v>
      </c>
      <c r="F29">
        <v>0</v>
      </c>
    </row>
    <row r="30" spans="1:6" x14ac:dyDescent="0.2">
      <c r="A30">
        <v>3</v>
      </c>
      <c r="B30">
        <v>26</v>
      </c>
      <c r="C30">
        <v>0</v>
      </c>
      <c r="D30">
        <v>9</v>
      </c>
      <c r="E30">
        <v>8</v>
      </c>
      <c r="F30">
        <v>1</v>
      </c>
    </row>
    <row r="31" spans="1:6" x14ac:dyDescent="0.2">
      <c r="A31">
        <v>2</v>
      </c>
      <c r="B31">
        <v>27</v>
      </c>
      <c r="C31">
        <v>3</v>
      </c>
      <c r="D31">
        <v>9</v>
      </c>
      <c r="E31">
        <v>1</v>
      </c>
      <c r="F31">
        <v>5</v>
      </c>
    </row>
    <row r="32" spans="1:6" x14ac:dyDescent="0.2">
      <c r="A32">
        <v>2</v>
      </c>
      <c r="B32">
        <v>28</v>
      </c>
      <c r="C32">
        <v>2</v>
      </c>
      <c r="D32">
        <v>4</v>
      </c>
      <c r="E32">
        <v>0</v>
      </c>
      <c r="F32">
        <v>1</v>
      </c>
    </row>
    <row r="33" spans="1:6" x14ac:dyDescent="0.2">
      <c r="A33">
        <v>2</v>
      </c>
      <c r="B33">
        <v>29</v>
      </c>
      <c r="C33">
        <v>1</v>
      </c>
      <c r="D33">
        <v>6</v>
      </c>
      <c r="E33">
        <v>7</v>
      </c>
      <c r="F33">
        <v>3</v>
      </c>
    </row>
    <row r="34" spans="1:6" x14ac:dyDescent="0.2">
      <c r="A34">
        <v>2</v>
      </c>
      <c r="B34">
        <v>30</v>
      </c>
      <c r="C34">
        <v>2</v>
      </c>
      <c r="D34">
        <v>3</v>
      </c>
      <c r="E34">
        <v>3</v>
      </c>
      <c r="F34">
        <v>0</v>
      </c>
    </row>
    <row r="35" spans="1:6" x14ac:dyDescent="0.2">
      <c r="A35">
        <v>4</v>
      </c>
      <c r="B35">
        <v>31</v>
      </c>
      <c r="C35">
        <v>3</v>
      </c>
      <c r="D35">
        <v>5</v>
      </c>
      <c r="E35">
        <v>4</v>
      </c>
      <c r="F35">
        <v>8</v>
      </c>
    </row>
    <row r="36" spans="1:6" x14ac:dyDescent="0.2">
      <c r="A36">
        <v>4</v>
      </c>
      <c r="B36">
        <v>32</v>
      </c>
      <c r="C36">
        <v>1</v>
      </c>
      <c r="D36">
        <v>1</v>
      </c>
      <c r="E36">
        <v>3</v>
      </c>
      <c r="F36">
        <v>7</v>
      </c>
    </row>
    <row r="37" spans="1:6" x14ac:dyDescent="0.2">
      <c r="A37">
        <v>4</v>
      </c>
      <c r="B37">
        <v>33</v>
      </c>
      <c r="C37">
        <v>5</v>
      </c>
      <c r="D37">
        <v>1</v>
      </c>
      <c r="E37">
        <v>2</v>
      </c>
      <c r="F37">
        <v>6</v>
      </c>
    </row>
    <row r="38" spans="1:6" x14ac:dyDescent="0.2">
      <c r="A38">
        <v>1</v>
      </c>
      <c r="B38">
        <v>34</v>
      </c>
      <c r="C38">
        <v>8</v>
      </c>
      <c r="D38">
        <v>2</v>
      </c>
      <c r="E38">
        <v>3</v>
      </c>
      <c r="F38">
        <v>3</v>
      </c>
    </row>
    <row r="39" spans="1:6" hidden="1" x14ac:dyDescent="0.2">
      <c r="A39">
        <v>4</v>
      </c>
      <c r="B39">
        <v>35</v>
      </c>
      <c r="C39">
        <v>1</v>
      </c>
      <c r="D39">
        <v>8</v>
      </c>
      <c r="E39">
        <v>6</v>
      </c>
      <c r="F39">
        <v>9</v>
      </c>
    </row>
    <row r="40" spans="1:6" hidden="1" x14ac:dyDescent="0.2">
      <c r="A40">
        <v>2</v>
      </c>
      <c r="B40">
        <v>36</v>
      </c>
      <c r="C40">
        <v>1</v>
      </c>
      <c r="D40">
        <v>9</v>
      </c>
      <c r="E40">
        <v>1</v>
      </c>
      <c r="F40">
        <v>6</v>
      </c>
    </row>
    <row r="41" spans="1:6" hidden="1" x14ac:dyDescent="0.2">
      <c r="A41">
        <v>4</v>
      </c>
      <c r="B41">
        <v>37</v>
      </c>
      <c r="C41">
        <v>6</v>
      </c>
      <c r="D41">
        <v>1</v>
      </c>
      <c r="E41">
        <v>8</v>
      </c>
      <c r="F41">
        <v>10</v>
      </c>
    </row>
    <row r="42" spans="1:6" hidden="1" x14ac:dyDescent="0.2">
      <c r="A42">
        <v>4</v>
      </c>
      <c r="B42">
        <v>38</v>
      </c>
      <c r="C42">
        <v>6</v>
      </c>
      <c r="D42">
        <v>1</v>
      </c>
      <c r="E42">
        <v>7</v>
      </c>
      <c r="F42">
        <v>9</v>
      </c>
    </row>
    <row r="43" spans="1:6" hidden="1" x14ac:dyDescent="0.2">
      <c r="A43">
        <v>4</v>
      </c>
      <c r="B43">
        <v>39</v>
      </c>
      <c r="C43">
        <v>1</v>
      </c>
      <c r="D43">
        <v>2</v>
      </c>
      <c r="E43">
        <v>6</v>
      </c>
      <c r="F43">
        <v>6</v>
      </c>
    </row>
    <row r="44" spans="1:6" hidden="1" x14ac:dyDescent="0.2">
      <c r="A44">
        <v>1</v>
      </c>
      <c r="B44">
        <v>40</v>
      </c>
      <c r="C44">
        <v>2</v>
      </c>
      <c r="D44">
        <v>1</v>
      </c>
      <c r="E44">
        <v>3</v>
      </c>
      <c r="F44">
        <v>5</v>
      </c>
    </row>
    <row r="45" spans="1:6" hidden="1" x14ac:dyDescent="0.2">
      <c r="A45">
        <v>2</v>
      </c>
      <c r="B45">
        <v>41</v>
      </c>
      <c r="C45">
        <v>2</v>
      </c>
      <c r="D45">
        <v>7</v>
      </c>
      <c r="E45">
        <v>0</v>
      </c>
      <c r="F45">
        <v>5</v>
      </c>
    </row>
    <row r="46" spans="1:6" hidden="1" x14ac:dyDescent="0.2">
      <c r="A46">
        <v>1</v>
      </c>
      <c r="B46">
        <v>42</v>
      </c>
      <c r="C46">
        <v>6</v>
      </c>
      <c r="D46">
        <v>6</v>
      </c>
      <c r="E46">
        <v>4</v>
      </c>
      <c r="F46">
        <v>8</v>
      </c>
    </row>
    <row r="47" spans="1:6" hidden="1" x14ac:dyDescent="0.2">
      <c r="A47">
        <v>3</v>
      </c>
      <c r="B47">
        <v>43</v>
      </c>
      <c r="C47">
        <v>0</v>
      </c>
      <c r="D47">
        <v>2</v>
      </c>
      <c r="E47">
        <v>9</v>
      </c>
      <c r="F47">
        <v>5</v>
      </c>
    </row>
    <row r="48" spans="1:6" hidden="1" x14ac:dyDescent="0.2">
      <c r="A48">
        <v>1</v>
      </c>
      <c r="B48">
        <v>44</v>
      </c>
      <c r="C48">
        <v>7</v>
      </c>
      <c r="D48">
        <v>7</v>
      </c>
      <c r="E48">
        <v>4</v>
      </c>
      <c r="F48">
        <v>2</v>
      </c>
    </row>
    <row r="49" spans="1:6" hidden="1" x14ac:dyDescent="0.2">
      <c r="A49">
        <v>1</v>
      </c>
      <c r="B49">
        <v>45</v>
      </c>
      <c r="C49">
        <v>10</v>
      </c>
      <c r="D49">
        <v>2</v>
      </c>
      <c r="E49">
        <v>0</v>
      </c>
      <c r="F49">
        <v>0</v>
      </c>
    </row>
    <row r="50" spans="1:6" hidden="1" x14ac:dyDescent="0.2">
      <c r="A50">
        <v>3</v>
      </c>
      <c r="B50">
        <v>46</v>
      </c>
      <c r="C50">
        <v>1</v>
      </c>
      <c r="D50">
        <v>9</v>
      </c>
      <c r="E50">
        <v>9</v>
      </c>
      <c r="F50">
        <v>8</v>
      </c>
    </row>
    <row r="51" spans="1:6" hidden="1" x14ac:dyDescent="0.2">
      <c r="A51">
        <v>2</v>
      </c>
      <c r="B51">
        <v>47</v>
      </c>
      <c r="C51">
        <v>3</v>
      </c>
      <c r="D51">
        <v>6</v>
      </c>
      <c r="E51">
        <v>5</v>
      </c>
      <c r="F51">
        <v>0</v>
      </c>
    </row>
    <row r="52" spans="1:6" hidden="1" x14ac:dyDescent="0.2">
      <c r="A52">
        <v>4</v>
      </c>
      <c r="B52">
        <v>48</v>
      </c>
      <c r="C52">
        <v>2</v>
      </c>
      <c r="D52">
        <v>7</v>
      </c>
      <c r="E52">
        <v>2</v>
      </c>
      <c r="F52">
        <v>9</v>
      </c>
    </row>
    <row r="53" spans="1:6" hidden="1" x14ac:dyDescent="0.2">
      <c r="A53">
        <v>4</v>
      </c>
      <c r="B53">
        <v>49</v>
      </c>
      <c r="C53">
        <v>7</v>
      </c>
      <c r="D53">
        <v>9</v>
      </c>
      <c r="E53">
        <v>3</v>
      </c>
      <c r="F53">
        <v>9</v>
      </c>
    </row>
    <row r="54" spans="1:6" hidden="1" x14ac:dyDescent="0.2">
      <c r="A54">
        <v>2</v>
      </c>
      <c r="B54">
        <v>50</v>
      </c>
      <c r="C54">
        <v>0</v>
      </c>
      <c r="D54">
        <v>10</v>
      </c>
      <c r="E54">
        <v>1</v>
      </c>
      <c r="F54">
        <v>3</v>
      </c>
    </row>
    <row r="55" spans="1:6" hidden="1" x14ac:dyDescent="0.2">
      <c r="A55">
        <v>2</v>
      </c>
      <c r="B55">
        <v>51</v>
      </c>
      <c r="C55">
        <v>8</v>
      </c>
      <c r="D55">
        <v>10</v>
      </c>
      <c r="E55">
        <v>5</v>
      </c>
      <c r="F55">
        <v>7</v>
      </c>
    </row>
    <row r="56" spans="1:6" hidden="1" x14ac:dyDescent="0.2">
      <c r="A56">
        <v>3</v>
      </c>
      <c r="B56">
        <v>52</v>
      </c>
      <c r="C56">
        <v>8</v>
      </c>
      <c r="D56">
        <v>2</v>
      </c>
      <c r="E56">
        <v>8</v>
      </c>
      <c r="F56">
        <v>3</v>
      </c>
    </row>
    <row r="57" spans="1:6" hidden="1" x14ac:dyDescent="0.2">
      <c r="A57">
        <v>4</v>
      </c>
      <c r="B57">
        <v>53</v>
      </c>
      <c r="C57">
        <v>2</v>
      </c>
      <c r="D57">
        <v>2</v>
      </c>
      <c r="E57">
        <v>5</v>
      </c>
      <c r="F57">
        <v>5</v>
      </c>
    </row>
    <row r="58" spans="1:6" hidden="1" x14ac:dyDescent="0.2">
      <c r="A58">
        <v>3</v>
      </c>
      <c r="B58">
        <v>54</v>
      </c>
      <c r="C58">
        <v>8</v>
      </c>
      <c r="D58">
        <v>1</v>
      </c>
      <c r="E58">
        <v>6</v>
      </c>
      <c r="F58">
        <v>9</v>
      </c>
    </row>
    <row r="59" spans="1:6" hidden="1" x14ac:dyDescent="0.2">
      <c r="A59">
        <v>4</v>
      </c>
      <c r="B59">
        <v>55</v>
      </c>
      <c r="C59">
        <v>2</v>
      </c>
      <c r="D59">
        <v>9</v>
      </c>
      <c r="E59">
        <v>8</v>
      </c>
      <c r="F59">
        <v>6</v>
      </c>
    </row>
    <row r="60" spans="1:6" hidden="1" x14ac:dyDescent="0.2">
      <c r="A60">
        <v>3</v>
      </c>
      <c r="B60">
        <v>56</v>
      </c>
      <c r="C60">
        <v>3</v>
      </c>
      <c r="D60">
        <v>8</v>
      </c>
      <c r="E60">
        <v>5</v>
      </c>
      <c r="F60">
        <v>0</v>
      </c>
    </row>
    <row r="61" spans="1:6" hidden="1" x14ac:dyDescent="0.2">
      <c r="A61">
        <v>3</v>
      </c>
      <c r="B61">
        <v>57</v>
      </c>
      <c r="C61">
        <v>5</v>
      </c>
      <c r="D61">
        <v>2</v>
      </c>
      <c r="E61">
        <v>3</v>
      </c>
      <c r="F61">
        <v>2</v>
      </c>
    </row>
    <row r="62" spans="1:6" hidden="1" x14ac:dyDescent="0.2">
      <c r="A62">
        <v>3</v>
      </c>
      <c r="B62">
        <v>58</v>
      </c>
      <c r="C62">
        <v>0</v>
      </c>
      <c r="D62">
        <v>3</v>
      </c>
      <c r="E62">
        <v>6</v>
      </c>
      <c r="F62">
        <v>2</v>
      </c>
    </row>
    <row r="63" spans="1:6" hidden="1" x14ac:dyDescent="0.2">
      <c r="A63">
        <v>3</v>
      </c>
      <c r="B63">
        <v>59</v>
      </c>
      <c r="C63">
        <v>3</v>
      </c>
      <c r="D63">
        <v>5</v>
      </c>
      <c r="E63">
        <v>8</v>
      </c>
      <c r="F63">
        <v>9</v>
      </c>
    </row>
    <row r="64" spans="1:6" hidden="1" x14ac:dyDescent="0.2">
      <c r="A64">
        <v>3</v>
      </c>
      <c r="B64">
        <v>60</v>
      </c>
      <c r="C64">
        <v>4</v>
      </c>
      <c r="D64">
        <v>5</v>
      </c>
      <c r="E64">
        <v>5</v>
      </c>
      <c r="F64">
        <v>1</v>
      </c>
    </row>
    <row r="65" spans="1:6" hidden="1" x14ac:dyDescent="0.2">
      <c r="A65">
        <v>1</v>
      </c>
      <c r="B65">
        <v>61</v>
      </c>
      <c r="C65">
        <v>5</v>
      </c>
      <c r="D65">
        <v>3</v>
      </c>
      <c r="E65">
        <v>1</v>
      </c>
      <c r="F65">
        <v>5</v>
      </c>
    </row>
    <row r="66" spans="1:6" hidden="1" x14ac:dyDescent="0.2">
      <c r="A66">
        <v>4</v>
      </c>
      <c r="B66">
        <v>62</v>
      </c>
      <c r="C66">
        <v>0</v>
      </c>
      <c r="D66">
        <v>9</v>
      </c>
      <c r="E66">
        <v>2</v>
      </c>
      <c r="F66">
        <v>9</v>
      </c>
    </row>
    <row r="67" spans="1:6" hidden="1" x14ac:dyDescent="0.2">
      <c r="A67">
        <v>3</v>
      </c>
      <c r="B67">
        <v>63</v>
      </c>
      <c r="C67">
        <v>1</v>
      </c>
      <c r="D67">
        <v>3</v>
      </c>
      <c r="E67">
        <v>4</v>
      </c>
      <c r="F67">
        <v>3</v>
      </c>
    </row>
    <row r="68" spans="1:6" hidden="1" x14ac:dyDescent="0.2">
      <c r="A68">
        <v>2</v>
      </c>
      <c r="B68">
        <v>64</v>
      </c>
      <c r="C68">
        <v>4</v>
      </c>
      <c r="D68">
        <v>9</v>
      </c>
      <c r="E68">
        <v>6</v>
      </c>
      <c r="F68">
        <v>0</v>
      </c>
    </row>
    <row r="69" spans="1:6" hidden="1" x14ac:dyDescent="0.2">
      <c r="A69">
        <v>4</v>
      </c>
      <c r="B69">
        <v>65</v>
      </c>
      <c r="C69">
        <v>4</v>
      </c>
      <c r="D69">
        <v>3</v>
      </c>
      <c r="E69">
        <v>2</v>
      </c>
      <c r="F69">
        <v>9</v>
      </c>
    </row>
    <row r="70" spans="1:6" hidden="1" x14ac:dyDescent="0.2">
      <c r="A70">
        <v>1</v>
      </c>
      <c r="B70">
        <v>66</v>
      </c>
      <c r="C70">
        <v>9</v>
      </c>
      <c r="D70">
        <v>8</v>
      </c>
      <c r="E70">
        <v>1</v>
      </c>
      <c r="F70">
        <v>7</v>
      </c>
    </row>
    <row r="71" spans="1:6" hidden="1" x14ac:dyDescent="0.2">
      <c r="A71">
        <v>4</v>
      </c>
      <c r="B71">
        <v>67</v>
      </c>
      <c r="C71">
        <v>7</v>
      </c>
      <c r="D71">
        <v>6</v>
      </c>
      <c r="E71">
        <v>2</v>
      </c>
      <c r="F71">
        <v>5</v>
      </c>
    </row>
    <row r="72" spans="1:6" x14ac:dyDescent="0.2">
      <c r="A72">
        <v>4</v>
      </c>
      <c r="B72">
        <v>68</v>
      </c>
      <c r="C72">
        <v>4</v>
      </c>
      <c r="D72">
        <v>3</v>
      </c>
      <c r="E72">
        <v>1</v>
      </c>
      <c r="F72">
        <v>7</v>
      </c>
    </row>
    <row r="73" spans="1:6" x14ac:dyDescent="0.2">
      <c r="A73">
        <v>3</v>
      </c>
      <c r="B73">
        <v>69</v>
      </c>
      <c r="C73">
        <v>4</v>
      </c>
      <c r="D73">
        <v>4</v>
      </c>
      <c r="E73">
        <v>7</v>
      </c>
      <c r="F73">
        <v>2</v>
      </c>
    </row>
    <row r="74" spans="1:6" x14ac:dyDescent="0.2">
      <c r="A74">
        <v>1</v>
      </c>
      <c r="B74">
        <v>70</v>
      </c>
      <c r="C74">
        <v>9</v>
      </c>
      <c r="D74">
        <v>0</v>
      </c>
      <c r="E74">
        <v>3</v>
      </c>
      <c r="F74">
        <v>4</v>
      </c>
    </row>
    <row r="75" spans="1:6" x14ac:dyDescent="0.2">
      <c r="A75">
        <v>1</v>
      </c>
      <c r="B75">
        <v>71</v>
      </c>
      <c r="C75">
        <v>3</v>
      </c>
      <c r="D75">
        <v>4</v>
      </c>
      <c r="E75">
        <v>2</v>
      </c>
      <c r="F75">
        <v>2</v>
      </c>
    </row>
    <row r="76" spans="1:6" x14ac:dyDescent="0.2">
      <c r="A76">
        <v>2</v>
      </c>
      <c r="B76">
        <v>72</v>
      </c>
      <c r="C76">
        <v>2</v>
      </c>
      <c r="D76">
        <v>9</v>
      </c>
      <c r="E76">
        <v>9</v>
      </c>
      <c r="F76">
        <v>7</v>
      </c>
    </row>
    <row r="77" spans="1:6" x14ac:dyDescent="0.2">
      <c r="A77">
        <v>1</v>
      </c>
      <c r="B77">
        <v>73</v>
      </c>
      <c r="C77">
        <v>2</v>
      </c>
      <c r="D77">
        <v>2</v>
      </c>
      <c r="E77">
        <v>1</v>
      </c>
      <c r="F77">
        <v>2</v>
      </c>
    </row>
    <row r="78" spans="1:6" x14ac:dyDescent="0.2">
      <c r="A78">
        <v>3</v>
      </c>
      <c r="B78">
        <v>74</v>
      </c>
      <c r="C78">
        <v>5</v>
      </c>
      <c r="D78">
        <v>8</v>
      </c>
      <c r="E78">
        <v>10</v>
      </c>
      <c r="F78">
        <v>0</v>
      </c>
    </row>
    <row r="79" spans="1:6" x14ac:dyDescent="0.2">
      <c r="A79">
        <v>2</v>
      </c>
      <c r="B79">
        <v>75</v>
      </c>
      <c r="C79">
        <v>5</v>
      </c>
      <c r="D79">
        <v>9</v>
      </c>
      <c r="E79">
        <v>1</v>
      </c>
      <c r="F79">
        <v>2</v>
      </c>
    </row>
    <row r="80" spans="1:6" x14ac:dyDescent="0.2">
      <c r="A80">
        <v>4</v>
      </c>
      <c r="B80">
        <v>76</v>
      </c>
      <c r="C80">
        <v>9</v>
      </c>
      <c r="D80">
        <v>9</v>
      </c>
      <c r="E80">
        <v>2</v>
      </c>
      <c r="F80">
        <v>7</v>
      </c>
    </row>
    <row r="81" spans="1:6" x14ac:dyDescent="0.2">
      <c r="A81">
        <v>1</v>
      </c>
      <c r="B81">
        <v>77</v>
      </c>
      <c r="C81">
        <v>2</v>
      </c>
      <c r="D81">
        <v>0</v>
      </c>
      <c r="E81">
        <v>0</v>
      </c>
      <c r="F81">
        <v>0</v>
      </c>
    </row>
    <row r="82" spans="1:6" x14ac:dyDescent="0.2">
      <c r="A82">
        <v>2</v>
      </c>
      <c r="B82">
        <v>78</v>
      </c>
      <c r="C82">
        <v>7</v>
      </c>
      <c r="D82">
        <v>8</v>
      </c>
      <c r="E82">
        <v>6</v>
      </c>
      <c r="F82">
        <v>5</v>
      </c>
    </row>
    <row r="83" spans="1:6" x14ac:dyDescent="0.2">
      <c r="A83">
        <v>2</v>
      </c>
      <c r="B83">
        <v>79</v>
      </c>
      <c r="C83">
        <v>2</v>
      </c>
      <c r="D83">
        <v>4</v>
      </c>
      <c r="E83">
        <v>2</v>
      </c>
      <c r="F83">
        <v>3</v>
      </c>
    </row>
    <row r="84" spans="1:6" x14ac:dyDescent="0.2">
      <c r="A84">
        <v>4</v>
      </c>
      <c r="B84">
        <v>80</v>
      </c>
      <c r="C84">
        <v>0</v>
      </c>
      <c r="D84">
        <v>0</v>
      </c>
      <c r="E84">
        <v>2</v>
      </c>
      <c r="F84">
        <v>7</v>
      </c>
    </row>
  </sheetData>
  <phoneticPr fontId="0" type="noConversion"/>
  <printOptions headings="1" gridLines="1"/>
  <pageMargins left="0.75" right="0.75" top="1" bottom="1" header="0.5" footer="0.5"/>
  <pageSetup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26"/>
  <sheetViews>
    <sheetView workbookViewId="0">
      <selection activeCell="I10" sqref="I10"/>
    </sheetView>
  </sheetViews>
  <sheetFormatPr defaultRowHeight="12.75" x14ac:dyDescent="0.2"/>
  <cols>
    <col min="3" max="3" width="12.7109375" customWidth="1"/>
  </cols>
  <sheetData>
    <row r="5" spans="3:10" x14ac:dyDescent="0.2">
      <c r="D5" t="s">
        <v>24</v>
      </c>
      <c r="E5" t="s">
        <v>25</v>
      </c>
      <c r="I5" t="s">
        <v>24</v>
      </c>
      <c r="J5" t="s">
        <v>25</v>
      </c>
    </row>
    <row r="6" spans="3:10" x14ac:dyDescent="0.2">
      <c r="C6" t="s">
        <v>26</v>
      </c>
      <c r="D6">
        <v>40.700000000000003</v>
      </c>
      <c r="E6">
        <v>73.900000000000006</v>
      </c>
      <c r="H6" t="s">
        <v>27</v>
      </c>
      <c r="I6" s="2">
        <f>VLOOKUP($H6,$C$5:$E$26,MATCH(I$5,$C$5:$E$5,0),0)</f>
        <v>33.799999999999997</v>
      </c>
      <c r="J6">
        <f ca="1">VLOOKUP($J6,$E$5:$G$26,MATCH(J$5,$E$5:$G$5,0),0)</f>
        <v>84.4</v>
      </c>
    </row>
    <row r="7" spans="3:10" x14ac:dyDescent="0.2">
      <c r="C7" t="s">
        <v>28</v>
      </c>
      <c r="D7">
        <v>42.3</v>
      </c>
      <c r="E7">
        <v>71</v>
      </c>
      <c r="H7" t="s">
        <v>29</v>
      </c>
      <c r="I7" s="2">
        <f>VLOOKUP($H7,$C$5:$E$26,MATCH(I$5,$C$5:$E$5,0),0)</f>
        <v>39.799999999999997</v>
      </c>
      <c r="J7">
        <f ca="1">VLOOKUP($J7,$E$5:$G$26,MATCH(J$5,$E$5:$G$5,0),0)</f>
        <v>104.9</v>
      </c>
    </row>
    <row r="8" spans="3:10" x14ac:dyDescent="0.2">
      <c r="C8" t="s">
        <v>30</v>
      </c>
      <c r="D8">
        <v>40</v>
      </c>
      <c r="E8">
        <v>75.099999999999994</v>
      </c>
    </row>
    <row r="9" spans="3:10" x14ac:dyDescent="0.2">
      <c r="C9" t="s">
        <v>31</v>
      </c>
      <c r="D9">
        <v>35.200000000000003</v>
      </c>
      <c r="E9">
        <v>80.8</v>
      </c>
    </row>
    <row r="10" spans="3:10" x14ac:dyDescent="0.2">
      <c r="C10" t="s">
        <v>27</v>
      </c>
      <c r="D10">
        <v>33.799999999999997</v>
      </c>
      <c r="E10">
        <v>84.4</v>
      </c>
    </row>
    <row r="11" spans="3:10" x14ac:dyDescent="0.2">
      <c r="C11" t="s">
        <v>32</v>
      </c>
      <c r="D11">
        <v>30</v>
      </c>
      <c r="E11">
        <v>89.9</v>
      </c>
    </row>
    <row r="12" spans="3:10" x14ac:dyDescent="0.2">
      <c r="C12" t="s">
        <v>33</v>
      </c>
      <c r="D12">
        <v>25.8</v>
      </c>
      <c r="E12">
        <v>80.2</v>
      </c>
    </row>
    <row r="13" spans="3:10" x14ac:dyDescent="0.2">
      <c r="C13" t="s">
        <v>34</v>
      </c>
      <c r="D13">
        <v>32.799999999999997</v>
      </c>
      <c r="E13">
        <v>96.8</v>
      </c>
    </row>
    <row r="14" spans="3:10" x14ac:dyDescent="0.2">
      <c r="C14" t="s">
        <v>35</v>
      </c>
      <c r="D14">
        <v>29.8</v>
      </c>
      <c r="E14">
        <v>95.4</v>
      </c>
    </row>
    <row r="15" spans="3:10" x14ac:dyDescent="0.2">
      <c r="C15" t="s">
        <v>36</v>
      </c>
      <c r="D15">
        <v>41.8</v>
      </c>
      <c r="E15">
        <v>87.7</v>
      </c>
    </row>
    <row r="16" spans="3:10" x14ac:dyDescent="0.2">
      <c r="C16" t="s">
        <v>37</v>
      </c>
      <c r="D16">
        <v>42.4</v>
      </c>
      <c r="E16">
        <v>83.1</v>
      </c>
    </row>
    <row r="17" spans="3:5" x14ac:dyDescent="0.2">
      <c r="C17" t="s">
        <v>38</v>
      </c>
      <c r="D17">
        <v>41.5</v>
      </c>
      <c r="E17">
        <v>81.7</v>
      </c>
    </row>
    <row r="18" spans="3:5" x14ac:dyDescent="0.2">
      <c r="C18" t="s">
        <v>39</v>
      </c>
      <c r="D18">
        <v>39.799999999999997</v>
      </c>
      <c r="E18">
        <v>86.1</v>
      </c>
    </row>
    <row r="19" spans="3:5" x14ac:dyDescent="0.2">
      <c r="C19" t="s">
        <v>29</v>
      </c>
      <c r="D19">
        <v>39.799999999999997</v>
      </c>
      <c r="E19">
        <v>104.9</v>
      </c>
    </row>
    <row r="20" spans="3:5" x14ac:dyDescent="0.2">
      <c r="C20" t="s">
        <v>40</v>
      </c>
      <c r="D20">
        <v>45</v>
      </c>
      <c r="E20">
        <v>93.3</v>
      </c>
    </row>
    <row r="21" spans="3:5" x14ac:dyDescent="0.2">
      <c r="C21" t="s">
        <v>41</v>
      </c>
      <c r="D21">
        <v>33.5</v>
      </c>
      <c r="E21">
        <v>112.1</v>
      </c>
    </row>
    <row r="22" spans="3:5" x14ac:dyDescent="0.2">
      <c r="C22" t="s">
        <v>42</v>
      </c>
      <c r="D22">
        <v>40.799999999999997</v>
      </c>
      <c r="E22">
        <v>111.9</v>
      </c>
    </row>
    <row r="23" spans="3:5" x14ac:dyDescent="0.2">
      <c r="C23" t="s">
        <v>43</v>
      </c>
      <c r="D23">
        <v>34.1</v>
      </c>
      <c r="E23">
        <v>118.4</v>
      </c>
    </row>
    <row r="24" spans="3:5" x14ac:dyDescent="0.2">
      <c r="C24" t="s">
        <v>44</v>
      </c>
      <c r="D24">
        <v>37.799999999999997</v>
      </c>
      <c r="E24">
        <v>122.6</v>
      </c>
    </row>
    <row r="25" spans="3:5" x14ac:dyDescent="0.2">
      <c r="C25" t="s">
        <v>45</v>
      </c>
      <c r="D25">
        <v>32.799999999999997</v>
      </c>
      <c r="E25">
        <v>117.1</v>
      </c>
    </row>
    <row r="26" spans="3:5" x14ac:dyDescent="0.2">
      <c r="C26" t="s">
        <v>46</v>
      </c>
      <c r="D26">
        <v>41.6</v>
      </c>
      <c r="E26">
        <v>122.4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5"/>
  <sheetViews>
    <sheetView workbookViewId="0">
      <selection activeCell="E12" sqref="E12"/>
    </sheetView>
  </sheetViews>
  <sheetFormatPr defaultRowHeight="12.75" x14ac:dyDescent="0.2"/>
  <cols>
    <col min="4" max="4" width="13.140625" customWidth="1"/>
  </cols>
  <sheetData>
    <row r="4" spans="3:10" ht="13.5" thickBot="1" x14ac:dyDescent="0.25">
      <c r="D4" s="1" t="s">
        <v>10</v>
      </c>
      <c r="E4" s="1" t="s">
        <v>11</v>
      </c>
    </row>
    <row r="5" spans="3:10" ht="15.75" thickBot="1" x14ac:dyDescent="0.3">
      <c r="C5" s="5"/>
      <c r="D5" s="3">
        <v>1</v>
      </c>
      <c r="E5" s="3">
        <v>12000</v>
      </c>
    </row>
    <row r="6" spans="3:10" ht="15.75" thickBot="1" x14ac:dyDescent="0.3">
      <c r="C6" s="7"/>
      <c r="D6" s="3">
        <v>6</v>
      </c>
      <c r="E6" s="3">
        <v>11000</v>
      </c>
    </row>
    <row r="7" spans="3:10" ht="15.75" thickBot="1" x14ac:dyDescent="0.3">
      <c r="C7" s="5"/>
      <c r="D7" s="3">
        <v>11</v>
      </c>
      <c r="E7" s="3">
        <v>10000</v>
      </c>
    </row>
    <row r="8" spans="3:10" ht="15.75" thickBot="1" x14ac:dyDescent="0.3">
      <c r="C8" s="5"/>
      <c r="D8" s="3">
        <v>21</v>
      </c>
      <c r="E8" s="3">
        <v>9000</v>
      </c>
    </row>
    <row r="9" spans="3:10" ht="13.5" thickBot="1" x14ac:dyDescent="0.25">
      <c r="C9" s="6"/>
    </row>
    <row r="10" spans="3:10" ht="15.75" thickBot="1" x14ac:dyDescent="0.3">
      <c r="D10" s="4" t="s">
        <v>12</v>
      </c>
      <c r="E10" s="3">
        <v>10</v>
      </c>
    </row>
    <row r="11" spans="3:10" x14ac:dyDescent="0.2">
      <c r="D11" s="1" t="s">
        <v>23</v>
      </c>
      <c r="E11" s="9">
        <f>E10*VLOOKUP(E10,D5:E8,2,1)</f>
        <v>110000</v>
      </c>
    </row>
    <row r="15" spans="3:10" x14ac:dyDescent="0.2">
      <c r="J15" s="6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5"/>
  <sheetViews>
    <sheetView workbookViewId="0">
      <selection activeCell="F17" sqref="F17"/>
    </sheetView>
  </sheetViews>
  <sheetFormatPr defaultRowHeight="12.75" x14ac:dyDescent="0.2"/>
  <cols>
    <col min="4" max="4" width="13.5703125" customWidth="1"/>
    <col min="5" max="5" width="14" customWidth="1"/>
    <col min="6" max="6" width="17.140625" customWidth="1"/>
  </cols>
  <sheetData>
    <row r="2" spans="4:7" ht="13.5" thickBot="1" x14ac:dyDescent="0.25"/>
    <row r="3" spans="4:7" ht="15.75" thickBot="1" x14ac:dyDescent="0.3">
      <c r="D3" s="4" t="s">
        <v>12</v>
      </c>
      <c r="E3" s="4" t="s">
        <v>13</v>
      </c>
      <c r="F3" s="4" t="s">
        <v>14</v>
      </c>
    </row>
    <row r="4" spans="4:7" ht="15.75" thickBot="1" x14ac:dyDescent="0.3">
      <c r="D4" s="3">
        <v>1</v>
      </c>
      <c r="E4" s="3">
        <v>12000</v>
      </c>
      <c r="F4" s="3">
        <v>0</v>
      </c>
    </row>
    <row r="5" spans="4:7" ht="15.75" thickBot="1" x14ac:dyDescent="0.3">
      <c r="D5" s="3">
        <v>6</v>
      </c>
      <c r="E5" s="3">
        <v>11000</v>
      </c>
      <c r="F5" s="3">
        <v>60000</v>
      </c>
    </row>
    <row r="6" spans="4:7" ht="15.75" thickBot="1" x14ac:dyDescent="0.3">
      <c r="D6" s="3">
        <v>11</v>
      </c>
      <c r="E6" s="3">
        <v>10000</v>
      </c>
      <c r="F6" s="3">
        <v>115000</v>
      </c>
    </row>
    <row r="7" spans="4:7" ht="15.75" thickBot="1" x14ac:dyDescent="0.3">
      <c r="D7" s="3">
        <v>21</v>
      </c>
      <c r="E7" s="3">
        <v>9000</v>
      </c>
      <c r="F7" s="3">
        <v>215000</v>
      </c>
    </row>
    <row r="8" spans="4:7" ht="15.75" thickBot="1" x14ac:dyDescent="0.3">
      <c r="D8" s="4"/>
      <c r="E8" s="3"/>
    </row>
    <row r="9" spans="4:7" x14ac:dyDescent="0.2">
      <c r="D9" s="1"/>
      <c r="E9" s="8"/>
    </row>
    <row r="10" spans="4:7" ht="13.5" thickBot="1" x14ac:dyDescent="0.25"/>
    <row r="11" spans="4:7" ht="15.75" thickBot="1" x14ac:dyDescent="0.3">
      <c r="D11" s="4" t="s">
        <v>15</v>
      </c>
      <c r="E11" s="3">
        <v>15</v>
      </c>
    </row>
    <row r="12" spans="4:7" ht="15.75" thickBot="1" x14ac:dyDescent="0.3">
      <c r="D12" s="1" t="s">
        <v>16</v>
      </c>
      <c r="E12" s="9">
        <f>VLOOKUP(E11,D4:F7,3,1)</f>
        <v>115000</v>
      </c>
      <c r="F12" s="4" t="s">
        <v>20</v>
      </c>
      <c r="G12" s="4"/>
    </row>
    <row r="13" spans="4:7" ht="15.75" thickBot="1" x14ac:dyDescent="0.3">
      <c r="D13" s="1" t="s">
        <v>17</v>
      </c>
      <c r="E13" s="9">
        <f>E11-(VLOOKUP(E11,D4:F7,1,1)-1)</f>
        <v>5</v>
      </c>
      <c r="F13" s="4" t="s">
        <v>21</v>
      </c>
      <c r="G13" s="4"/>
    </row>
    <row r="14" spans="4:7" ht="15.75" thickBot="1" x14ac:dyDescent="0.3">
      <c r="D14" s="10" t="s">
        <v>18</v>
      </c>
      <c r="E14" s="8">
        <f>VLOOKUP(E11,D4:F7,2,1)</f>
        <v>10000</v>
      </c>
      <c r="F14" s="11" t="s">
        <v>22</v>
      </c>
      <c r="G14" s="4"/>
    </row>
    <row r="15" spans="4:7" x14ac:dyDescent="0.2">
      <c r="D15" s="10" t="s">
        <v>19</v>
      </c>
      <c r="E15" s="8">
        <f>E12+(E13*E14)</f>
        <v>165000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45"/>
  <sheetViews>
    <sheetView workbookViewId="0">
      <selection activeCell="K10" sqref="K10"/>
    </sheetView>
  </sheetViews>
  <sheetFormatPr defaultRowHeight="12.75" x14ac:dyDescent="0.2"/>
  <cols>
    <col min="11" max="11" width="12.85546875" bestFit="1" customWidth="1"/>
  </cols>
  <sheetData>
    <row r="3" spans="3:12" x14ac:dyDescent="0.2">
      <c r="C3" t="s">
        <v>47</v>
      </c>
      <c r="D3" t="s">
        <v>48</v>
      </c>
      <c r="E3" t="s">
        <v>49</v>
      </c>
    </row>
    <row r="4" spans="3:12" x14ac:dyDescent="0.2">
      <c r="C4">
        <v>45856827</v>
      </c>
      <c r="D4" s="12">
        <v>188272</v>
      </c>
      <c r="E4">
        <v>30</v>
      </c>
    </row>
    <row r="5" spans="3:12" x14ac:dyDescent="0.2">
      <c r="C5">
        <v>29099936</v>
      </c>
      <c r="D5" s="12">
        <v>55663</v>
      </c>
      <c r="E5">
        <v>31</v>
      </c>
      <c r="J5" t="s">
        <v>47</v>
      </c>
      <c r="K5" t="s">
        <v>48</v>
      </c>
      <c r="L5" t="s">
        <v>49</v>
      </c>
    </row>
    <row r="6" spans="3:12" x14ac:dyDescent="0.2">
      <c r="C6">
        <v>4639128</v>
      </c>
      <c r="D6" s="12">
        <v>50895</v>
      </c>
      <c r="E6">
        <v>29</v>
      </c>
      <c r="J6">
        <v>11741046</v>
      </c>
      <c r="K6" s="13">
        <f>VLOOKUP($J$6,$C$3:$E$45,MATCH(K5,$C$3:$E$3,0),0)</f>
        <v>190165</v>
      </c>
      <c r="L6" s="2">
        <f>VLOOKUP(J$6,$C$3:$E$45,MATCH(L5,$C$3:$E$3,0),0)</f>
        <v>11</v>
      </c>
    </row>
    <row r="7" spans="3:12" x14ac:dyDescent="0.2">
      <c r="C7">
        <v>72647981</v>
      </c>
      <c r="D7" s="12">
        <v>171541</v>
      </c>
      <c r="E7">
        <v>34</v>
      </c>
      <c r="J7" s="1"/>
      <c r="K7" s="2"/>
    </row>
    <row r="8" spans="3:12" x14ac:dyDescent="0.2">
      <c r="C8">
        <v>94270333</v>
      </c>
      <c r="D8" s="12">
        <v>178939</v>
      </c>
      <c r="E8">
        <v>10</v>
      </c>
      <c r="J8" s="1"/>
    </row>
    <row r="9" spans="3:12" x14ac:dyDescent="0.2">
      <c r="C9">
        <v>49505709</v>
      </c>
      <c r="D9" s="12">
        <v>85323</v>
      </c>
      <c r="E9">
        <v>15</v>
      </c>
    </row>
    <row r="10" spans="3:12" x14ac:dyDescent="0.2">
      <c r="C10">
        <v>11741046</v>
      </c>
      <c r="D10" s="12">
        <v>190165</v>
      </c>
      <c r="E10">
        <v>11</v>
      </c>
    </row>
    <row r="11" spans="3:12" x14ac:dyDescent="0.2">
      <c r="C11">
        <v>21281615</v>
      </c>
      <c r="D11" s="12">
        <v>88839</v>
      </c>
      <c r="E11">
        <v>15</v>
      </c>
    </row>
    <row r="12" spans="3:12" x14ac:dyDescent="0.2">
      <c r="C12">
        <v>20143706</v>
      </c>
      <c r="D12" s="12">
        <v>69328</v>
      </c>
      <c r="E12">
        <v>39</v>
      </c>
    </row>
    <row r="13" spans="3:12" x14ac:dyDescent="0.2">
      <c r="C13">
        <v>44631675</v>
      </c>
      <c r="D13" s="12">
        <v>150854</v>
      </c>
      <c r="E13">
        <v>10</v>
      </c>
    </row>
    <row r="14" spans="3:12" x14ac:dyDescent="0.2">
      <c r="C14">
        <v>43380927</v>
      </c>
      <c r="D14" s="12">
        <v>120902</v>
      </c>
      <c r="E14">
        <v>24</v>
      </c>
    </row>
    <row r="15" spans="3:12" x14ac:dyDescent="0.2">
      <c r="C15">
        <v>59654577</v>
      </c>
      <c r="D15" s="12">
        <v>114149</v>
      </c>
      <c r="E15">
        <v>4</v>
      </c>
    </row>
    <row r="16" spans="3:12" x14ac:dyDescent="0.2">
      <c r="C16">
        <v>84765908</v>
      </c>
      <c r="D16" s="12">
        <v>90555</v>
      </c>
      <c r="E16">
        <v>31</v>
      </c>
    </row>
    <row r="17" spans="3:5" x14ac:dyDescent="0.2">
      <c r="C17">
        <v>5620154</v>
      </c>
      <c r="D17" s="12">
        <v>123553</v>
      </c>
      <c r="E17">
        <v>33</v>
      </c>
    </row>
    <row r="18" spans="3:5" x14ac:dyDescent="0.2">
      <c r="C18">
        <v>7406159</v>
      </c>
      <c r="D18" s="12">
        <v>194059</v>
      </c>
      <c r="E18">
        <v>25</v>
      </c>
    </row>
    <row r="19" spans="3:5" x14ac:dyDescent="0.2">
      <c r="C19">
        <v>47927178</v>
      </c>
      <c r="D19" s="12">
        <v>84381</v>
      </c>
      <c r="E19">
        <v>16</v>
      </c>
    </row>
    <row r="20" spans="3:5" x14ac:dyDescent="0.2">
      <c r="C20">
        <v>8838256</v>
      </c>
      <c r="D20" s="12">
        <v>86975</v>
      </c>
      <c r="E20">
        <v>19</v>
      </c>
    </row>
    <row r="21" spans="3:5" x14ac:dyDescent="0.2">
      <c r="C21">
        <v>12696373</v>
      </c>
      <c r="D21" s="12">
        <v>68813</v>
      </c>
      <c r="E21">
        <v>40</v>
      </c>
    </row>
    <row r="22" spans="3:5" x14ac:dyDescent="0.2">
      <c r="C22">
        <v>3644626</v>
      </c>
      <c r="D22" s="12">
        <v>51565</v>
      </c>
      <c r="E22">
        <v>27</v>
      </c>
    </row>
    <row r="23" spans="3:5" x14ac:dyDescent="0.2">
      <c r="C23">
        <v>5544349</v>
      </c>
      <c r="D23" s="12">
        <v>156446</v>
      </c>
      <c r="E23">
        <v>27</v>
      </c>
    </row>
    <row r="24" spans="3:5" x14ac:dyDescent="0.2">
      <c r="C24">
        <v>62909768</v>
      </c>
      <c r="D24" s="12">
        <v>135109</v>
      </c>
      <c r="E24">
        <v>29</v>
      </c>
    </row>
    <row r="25" spans="3:5" x14ac:dyDescent="0.2">
      <c r="C25">
        <v>54317026</v>
      </c>
      <c r="D25" s="12">
        <v>140871</v>
      </c>
      <c r="E25">
        <v>20</v>
      </c>
    </row>
    <row r="26" spans="3:5" x14ac:dyDescent="0.2">
      <c r="C26">
        <v>64162206</v>
      </c>
      <c r="D26" s="12">
        <v>170032</v>
      </c>
      <c r="E26">
        <v>10</v>
      </c>
    </row>
    <row r="27" spans="3:5" x14ac:dyDescent="0.2">
      <c r="C27">
        <v>54636987</v>
      </c>
      <c r="D27" s="12">
        <v>61359</v>
      </c>
      <c r="E27">
        <v>8</v>
      </c>
    </row>
    <row r="28" spans="3:5" x14ac:dyDescent="0.2">
      <c r="C28">
        <v>6529727</v>
      </c>
      <c r="D28" s="12">
        <v>190464</v>
      </c>
      <c r="E28">
        <v>14</v>
      </c>
    </row>
    <row r="29" spans="3:5" x14ac:dyDescent="0.2">
      <c r="C29">
        <v>40407549</v>
      </c>
      <c r="D29" s="12">
        <v>172230</v>
      </c>
      <c r="E29">
        <v>31</v>
      </c>
    </row>
    <row r="30" spans="3:5" x14ac:dyDescent="0.2">
      <c r="C30">
        <v>57816494</v>
      </c>
      <c r="D30" s="12">
        <v>195399</v>
      </c>
      <c r="E30">
        <v>28</v>
      </c>
    </row>
    <row r="31" spans="3:5" x14ac:dyDescent="0.2">
      <c r="C31">
        <v>32776673</v>
      </c>
      <c r="D31" s="12">
        <v>187702</v>
      </c>
      <c r="E31">
        <v>32</v>
      </c>
    </row>
    <row r="32" spans="3:5" x14ac:dyDescent="0.2">
      <c r="C32">
        <v>14239910</v>
      </c>
      <c r="D32" s="12">
        <v>196843</v>
      </c>
      <c r="E32">
        <v>28</v>
      </c>
    </row>
    <row r="33" spans="3:5" x14ac:dyDescent="0.2">
      <c r="C33">
        <v>62867501</v>
      </c>
      <c r="D33" s="12">
        <v>121211</v>
      </c>
      <c r="E33">
        <v>26</v>
      </c>
    </row>
    <row r="34" spans="3:5" x14ac:dyDescent="0.2">
      <c r="C34">
        <v>39212594</v>
      </c>
      <c r="D34" s="12">
        <v>149368</v>
      </c>
      <c r="E34">
        <v>8</v>
      </c>
    </row>
    <row r="35" spans="3:5" x14ac:dyDescent="0.2">
      <c r="C35">
        <v>22050032</v>
      </c>
      <c r="D35" s="12">
        <v>71602</v>
      </c>
      <c r="E35">
        <v>2</v>
      </c>
    </row>
    <row r="36" spans="3:5" x14ac:dyDescent="0.2">
      <c r="C36">
        <v>66841312</v>
      </c>
      <c r="D36" s="12">
        <v>138800</v>
      </c>
      <c r="E36">
        <v>4</v>
      </c>
    </row>
    <row r="37" spans="3:5" x14ac:dyDescent="0.2">
      <c r="C37">
        <v>66395645</v>
      </c>
      <c r="D37" s="12">
        <v>89334</v>
      </c>
      <c r="E37">
        <v>0</v>
      </c>
    </row>
    <row r="38" spans="3:5" x14ac:dyDescent="0.2">
      <c r="C38">
        <v>89464298</v>
      </c>
      <c r="D38" s="12">
        <v>131260</v>
      </c>
      <c r="E38">
        <v>25</v>
      </c>
    </row>
    <row r="39" spans="3:5" x14ac:dyDescent="0.2">
      <c r="C39">
        <v>48968487</v>
      </c>
      <c r="D39" s="12">
        <v>140354</v>
      </c>
      <c r="E39">
        <v>1</v>
      </c>
    </row>
    <row r="40" spans="3:5" x14ac:dyDescent="0.2">
      <c r="C40">
        <v>35629192</v>
      </c>
      <c r="D40" s="12">
        <v>194357</v>
      </c>
      <c r="E40">
        <v>28</v>
      </c>
    </row>
    <row r="41" spans="3:5" x14ac:dyDescent="0.2">
      <c r="C41">
        <v>29110262</v>
      </c>
      <c r="D41" s="12">
        <v>160458</v>
      </c>
      <c r="E41">
        <v>7</v>
      </c>
    </row>
    <row r="42" spans="3:5" x14ac:dyDescent="0.2">
      <c r="C42">
        <v>6053307</v>
      </c>
      <c r="D42" s="12">
        <v>85391</v>
      </c>
      <c r="E42">
        <v>21</v>
      </c>
    </row>
    <row r="43" spans="3:5" x14ac:dyDescent="0.2">
      <c r="C43">
        <v>61435949</v>
      </c>
      <c r="D43" s="12">
        <v>112828</v>
      </c>
      <c r="E43">
        <v>25</v>
      </c>
    </row>
    <row r="44" spans="3:5" x14ac:dyDescent="0.2">
      <c r="C44">
        <v>79801882</v>
      </c>
      <c r="D44" s="12">
        <v>163027</v>
      </c>
      <c r="E44">
        <v>9</v>
      </c>
    </row>
    <row r="45" spans="3:5" x14ac:dyDescent="0.2">
      <c r="C45">
        <v>53429314</v>
      </c>
      <c r="D45" s="12">
        <v>120803</v>
      </c>
      <c r="E4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7"/>
  <sheetViews>
    <sheetView tabSelected="1" workbookViewId="0">
      <selection activeCell="F18" sqref="F18"/>
    </sheetView>
  </sheetViews>
  <sheetFormatPr defaultRowHeight="12.75" x14ac:dyDescent="0.2"/>
  <sheetData>
    <row r="4" spans="2:8" x14ac:dyDescent="0.2"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</row>
    <row r="5" spans="2:8" x14ac:dyDescent="0.2">
      <c r="B5" t="s">
        <v>56</v>
      </c>
      <c r="C5">
        <v>9</v>
      </c>
      <c r="D5">
        <v>6</v>
      </c>
      <c r="E5">
        <v>9</v>
      </c>
      <c r="F5">
        <v>8</v>
      </c>
      <c r="G5">
        <v>5</v>
      </c>
      <c r="H5">
        <v>12</v>
      </c>
    </row>
    <row r="6" spans="2:8" x14ac:dyDescent="0.2">
      <c r="B6" t="s">
        <v>57</v>
      </c>
      <c r="C6">
        <v>10</v>
      </c>
      <c r="D6">
        <v>12</v>
      </c>
      <c r="E6">
        <v>7</v>
      </c>
      <c r="F6">
        <v>6</v>
      </c>
      <c r="G6">
        <v>8</v>
      </c>
      <c r="H6">
        <v>8</v>
      </c>
    </row>
    <row r="7" spans="2:8" x14ac:dyDescent="0.2">
      <c r="B7" t="s">
        <v>58</v>
      </c>
      <c r="C7">
        <v>12</v>
      </c>
      <c r="D7">
        <v>5</v>
      </c>
      <c r="E7">
        <v>11</v>
      </c>
      <c r="F7">
        <v>6</v>
      </c>
      <c r="G7">
        <v>5</v>
      </c>
      <c r="H7">
        <v>6</v>
      </c>
    </row>
    <row r="8" spans="2:8" x14ac:dyDescent="0.2">
      <c r="B8" t="s">
        <v>59</v>
      </c>
      <c r="C8">
        <v>11</v>
      </c>
      <c r="D8">
        <v>11</v>
      </c>
      <c r="E8">
        <v>12</v>
      </c>
      <c r="F8">
        <v>9</v>
      </c>
      <c r="G8">
        <v>10</v>
      </c>
      <c r="H8">
        <v>9</v>
      </c>
    </row>
    <row r="9" spans="2:8" x14ac:dyDescent="0.2">
      <c r="B9" t="s">
        <v>60</v>
      </c>
      <c r="C9">
        <v>6</v>
      </c>
      <c r="D9">
        <v>9</v>
      </c>
      <c r="E9">
        <v>9</v>
      </c>
      <c r="F9">
        <v>5</v>
      </c>
      <c r="G9">
        <v>6</v>
      </c>
      <c r="H9">
        <v>6</v>
      </c>
    </row>
    <row r="10" spans="2:8" x14ac:dyDescent="0.2">
      <c r="B10" t="s">
        <v>61</v>
      </c>
      <c r="C10">
        <v>6</v>
      </c>
      <c r="D10">
        <v>12</v>
      </c>
      <c r="E10">
        <v>5</v>
      </c>
      <c r="F10">
        <v>11</v>
      </c>
      <c r="G10">
        <v>11</v>
      </c>
      <c r="H10">
        <v>7</v>
      </c>
    </row>
    <row r="11" spans="2:8" x14ac:dyDescent="0.2">
      <c r="B11" t="s">
        <v>62</v>
      </c>
      <c r="C11">
        <v>8</v>
      </c>
      <c r="D11">
        <v>6</v>
      </c>
      <c r="E11">
        <v>11</v>
      </c>
      <c r="F11">
        <v>8</v>
      </c>
      <c r="G11">
        <v>12</v>
      </c>
      <c r="H11">
        <v>11</v>
      </c>
    </row>
    <row r="12" spans="2:8" x14ac:dyDescent="0.2">
      <c r="B12" t="s">
        <v>63</v>
      </c>
      <c r="C12">
        <v>10</v>
      </c>
      <c r="D12">
        <v>7</v>
      </c>
      <c r="E12">
        <v>11</v>
      </c>
      <c r="F12">
        <v>8</v>
      </c>
      <c r="G12">
        <v>9</v>
      </c>
      <c r="H12">
        <v>8</v>
      </c>
    </row>
    <row r="13" spans="2:8" x14ac:dyDescent="0.2">
      <c r="B13" t="s">
        <v>64</v>
      </c>
      <c r="C13">
        <v>8</v>
      </c>
      <c r="D13">
        <v>6</v>
      </c>
      <c r="E13">
        <v>6</v>
      </c>
      <c r="F13">
        <v>8</v>
      </c>
      <c r="G13">
        <v>6</v>
      </c>
      <c r="H13">
        <v>11</v>
      </c>
    </row>
    <row r="14" spans="2:8" x14ac:dyDescent="0.2">
      <c r="C14">
        <v>3</v>
      </c>
      <c r="D14">
        <v>2</v>
      </c>
      <c r="E14">
        <v>7</v>
      </c>
      <c r="F14">
        <v>5</v>
      </c>
    </row>
    <row r="15" spans="2:8" x14ac:dyDescent="0.2">
      <c r="C15" s="14" t="s">
        <v>65</v>
      </c>
    </row>
    <row r="16" spans="2:8" x14ac:dyDescent="0.2">
      <c r="B16" s="1" t="s">
        <v>66</v>
      </c>
      <c r="C16" t="s">
        <v>51</v>
      </c>
      <c r="D16" s="1" t="s">
        <v>50</v>
      </c>
      <c r="E16" t="s">
        <v>55</v>
      </c>
      <c r="F16" s="1" t="s">
        <v>53</v>
      </c>
      <c r="G16" s="1"/>
      <c r="H16" s="1"/>
    </row>
    <row r="17" spans="2:6" x14ac:dyDescent="0.2">
      <c r="B17" s="1" t="s">
        <v>56</v>
      </c>
      <c r="C17" s="2">
        <f>INDEX($B$4:$H$13,MATCH($B$17,$B$4:$B$13,0),MATCH(C$16,$B$4:$H$4,0))</f>
        <v>6</v>
      </c>
      <c r="D17" s="2">
        <f>INDEX($B$4:$H$13,MATCH($B$17,$B$4:$B$13,0),MATCH(D$16,$B$4:$H$4,0))</f>
        <v>9</v>
      </c>
      <c r="E17" s="2">
        <f>INDEX($B$4:$H$13,MATCH($B$17,$B$4:$B$13,0),MATCH(E$16,$B$4:$H$4,0))</f>
        <v>12</v>
      </c>
      <c r="F17">
        <f>INDEX($B$4:$H$13,MATCH($B$17,$B$4:$B$13,0),MATCH(F$16,$B$4:$H$4,0))</f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9C7D2E-B7C5-4F0E-9D37-2A1E72F179C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5E445266-1A9E-4BF4-AB36-968B03472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BCE3886-BCFA-4DB1-8C8D-CC8C7C1B83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Assign solution</vt:lpstr>
      <vt:lpstr>City data solution </vt:lpstr>
      <vt:lpstr>Ans Q3</vt:lpstr>
      <vt:lpstr>Ans Q4</vt:lpstr>
      <vt:lpstr>Hr slution </vt:lpstr>
      <vt:lpstr>Lookupmultiplecolumn ans</vt:lpstr>
      <vt:lpstr>Qual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2006-12-20T13:51:47Z</dcterms:created>
  <dcterms:modified xsi:type="dcterms:W3CDTF">2024-09-09T19:40:18Z</dcterms:modified>
  <cp:category/>
</cp:coreProperties>
</file>