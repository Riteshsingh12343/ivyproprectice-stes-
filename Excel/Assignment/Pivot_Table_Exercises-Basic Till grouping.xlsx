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s1" sheetId="1" r:id="rId4"/>
    <sheet state="visible" name="Qs2" sheetId="2" r:id="rId5"/>
    <sheet state="visible" name="Qs3" sheetId="3" r:id="rId6"/>
    <sheet state="visible" name="Qs4" sheetId="4" r:id="rId7"/>
    <sheet state="visible" name="Qs5" sheetId="5" r:id="rId8"/>
  </sheets>
  <definedNames/>
  <calcPr/>
  <pivotCaches>
    <pivotCache cacheId="0" r:id="rId9"/>
    <pivotCache cacheId="1" r:id="rId10"/>
    <pivotCache cacheId="2" r:id="rId11"/>
    <pivotCache cacheId="3" r:id="rId12"/>
    <pivotCache cacheId="4" r:id="rId13"/>
  </pivotCaches>
</workbook>
</file>

<file path=xl/sharedStrings.xml><?xml version="1.0" encoding="utf-8"?>
<sst xmlns="http://schemas.openxmlformats.org/spreadsheetml/2006/main" count="1180" uniqueCount="222">
  <si>
    <t>Qs. Create a pivot table summary to show  countrywise resort name and travel method</t>
  </si>
  <si>
    <t>Country</t>
  </si>
  <si>
    <t>Resort Name</t>
  </si>
  <si>
    <t>Travel Method</t>
  </si>
  <si>
    <t>Price</t>
  </si>
  <si>
    <t>Holiday ID</t>
  </si>
  <si>
    <t>Australia</t>
  </si>
  <si>
    <t>Great Barrier Reef</t>
  </si>
  <si>
    <t>Plane</t>
  </si>
  <si>
    <t>I990AUS</t>
  </si>
  <si>
    <t>Perth</t>
  </si>
  <si>
    <t>AUS112J</t>
  </si>
  <si>
    <t>Chile</t>
  </si>
  <si>
    <t>Santiago</t>
  </si>
  <si>
    <t>CH266H</t>
  </si>
  <si>
    <t>Great Barrier Reef Total</t>
  </si>
  <si>
    <t>England</t>
  </si>
  <si>
    <t>London</t>
  </si>
  <si>
    <t>Train</t>
  </si>
  <si>
    <t>I456UK</t>
  </si>
  <si>
    <t>Bognor</t>
  </si>
  <si>
    <t>Coach</t>
  </si>
  <si>
    <t>BG726H</t>
  </si>
  <si>
    <t>Perth Total</t>
  </si>
  <si>
    <t>France</t>
  </si>
  <si>
    <t>Lyon</t>
  </si>
  <si>
    <t>A7995FR</t>
  </si>
  <si>
    <t>Australia Total</t>
  </si>
  <si>
    <t>Paris - Euro Disney</t>
  </si>
  <si>
    <t>TH789FR</t>
  </si>
  <si>
    <t>TH788FR</t>
  </si>
  <si>
    <t>Santiago Total</t>
  </si>
  <si>
    <t>Nice</t>
  </si>
  <si>
    <t>I7897FR</t>
  </si>
  <si>
    <t>Chile Total</t>
  </si>
  <si>
    <t>Toulouse</t>
  </si>
  <si>
    <t>SG7637L</t>
  </si>
  <si>
    <t>Nimes</t>
  </si>
  <si>
    <t>FR5625J</t>
  </si>
  <si>
    <t>Bognor Total</t>
  </si>
  <si>
    <t>Germany</t>
  </si>
  <si>
    <t>Black Forest</t>
  </si>
  <si>
    <t>A111G</t>
  </si>
  <si>
    <t>Berlin</t>
  </si>
  <si>
    <t>BR6736G</t>
  </si>
  <si>
    <t>London Total</t>
  </si>
  <si>
    <t>Peru</t>
  </si>
  <si>
    <t>Lima</t>
  </si>
  <si>
    <t>PG7836G</t>
  </si>
  <si>
    <t>England Total</t>
  </si>
  <si>
    <t>Saudi Arabia</t>
  </si>
  <si>
    <t>Riyadh</t>
  </si>
  <si>
    <t>KSA8987</t>
  </si>
  <si>
    <t>Spain</t>
  </si>
  <si>
    <t>Barcelona</t>
  </si>
  <si>
    <t>I6675SP</t>
  </si>
  <si>
    <t>Lyon Total</t>
  </si>
  <si>
    <t>Nerja</t>
  </si>
  <si>
    <t>TH990ESP</t>
  </si>
  <si>
    <t>Malaga</t>
  </si>
  <si>
    <t>A776ESP</t>
  </si>
  <si>
    <t>Nice Total</t>
  </si>
  <si>
    <t>Seville</t>
  </si>
  <si>
    <t>NM9876Y</t>
  </si>
  <si>
    <t>TH8956SP</t>
  </si>
  <si>
    <t>Nimes Total</t>
  </si>
  <si>
    <t>AJ9836L</t>
  </si>
  <si>
    <t>GG9836P</t>
  </si>
  <si>
    <t>Paris - Euro Disney Total</t>
  </si>
  <si>
    <t>PL8726P</t>
  </si>
  <si>
    <t>Toulouse Total</t>
  </si>
  <si>
    <t>SV767HH</t>
  </si>
  <si>
    <t>France Total</t>
  </si>
  <si>
    <t>Madrid</t>
  </si>
  <si>
    <t>WE6735L</t>
  </si>
  <si>
    <t>Granada</t>
  </si>
  <si>
    <t>GR7878G</t>
  </si>
  <si>
    <t>Berlin Total</t>
  </si>
  <si>
    <t>Trinidad</t>
  </si>
  <si>
    <t>Port of Spain</t>
  </si>
  <si>
    <t>TT67624G</t>
  </si>
  <si>
    <t>Black Forest Total</t>
  </si>
  <si>
    <t>Germany Total</t>
  </si>
  <si>
    <t>Lima Total</t>
  </si>
  <si>
    <t>Peru Total</t>
  </si>
  <si>
    <t>Riyadh Total</t>
  </si>
  <si>
    <t>Saudi Arabia Total</t>
  </si>
  <si>
    <t>Barcelona Total</t>
  </si>
  <si>
    <t>Granada Total</t>
  </si>
  <si>
    <t>Madrid Total</t>
  </si>
  <si>
    <t>Malaga Total</t>
  </si>
  <si>
    <t>Nerja Total</t>
  </si>
  <si>
    <t>Seville Total</t>
  </si>
  <si>
    <t>Spain Total</t>
  </si>
  <si>
    <t>Port of Spain Total</t>
  </si>
  <si>
    <t>Trinidad Total</t>
  </si>
  <si>
    <t>Grand Total</t>
  </si>
  <si>
    <t>Qs5.Create a pivot table to summarise regionwise total sales contribution of each manager</t>
  </si>
  <si>
    <t>SUM of Units</t>
  </si>
  <si>
    <t>Region</t>
  </si>
  <si>
    <t>OrderDate</t>
  </si>
  <si>
    <t>Manager</t>
  </si>
  <si>
    <t>SalesMan</t>
  </si>
  <si>
    <t>Item</t>
  </si>
  <si>
    <t>Units</t>
  </si>
  <si>
    <t>Unit_price</t>
  </si>
  <si>
    <t>Sale_amt</t>
  </si>
  <si>
    <t>Central</t>
  </si>
  <si>
    <t>East</t>
  </si>
  <si>
    <t>West</t>
  </si>
  <si>
    <t>Martha</t>
  </si>
  <si>
    <t>Alexander</t>
  </si>
  <si>
    <t>Television</t>
  </si>
  <si>
    <t>Douglas</t>
  </si>
  <si>
    <t>Hermann</t>
  </si>
  <si>
    <t>Shelli</t>
  </si>
  <si>
    <t>Home Theater</t>
  </si>
  <si>
    <t>Luis</t>
  </si>
  <si>
    <t>Timothy</t>
  </si>
  <si>
    <t>David</t>
  </si>
  <si>
    <t>Cell Phone</t>
  </si>
  <si>
    <t>Stephen</t>
  </si>
  <si>
    <t>Steven</t>
  </si>
  <si>
    <t>Michael</t>
  </si>
  <si>
    <t>Sigal</t>
  </si>
  <si>
    <t>Diana</t>
  </si>
  <si>
    <t>Karen</t>
  </si>
  <si>
    <t>John</t>
  </si>
  <si>
    <t>Desk</t>
  </si>
  <si>
    <t>Video Games</t>
  </si>
  <si>
    <t>Qs2.Create a pivot table summary to show client and regionwise amount.</t>
  </si>
  <si>
    <t>Date</t>
  </si>
  <si>
    <t>Client</t>
  </si>
  <si>
    <t>Month</t>
  </si>
  <si>
    <t>Year</t>
  </si>
  <si>
    <t>Amount</t>
  </si>
  <si>
    <t>ABC Corporation</t>
  </si>
  <si>
    <t>South</t>
  </si>
  <si>
    <t>July</t>
  </si>
  <si>
    <t>Bridges Company</t>
  </si>
  <si>
    <t>Timefall Inc.</t>
  </si>
  <si>
    <t>SUM of Amount</t>
  </si>
  <si>
    <t>Chiral Corporation</t>
  </si>
  <si>
    <t>North</t>
  </si>
  <si>
    <t>August</t>
  </si>
  <si>
    <t>Titan Industries</t>
  </si>
  <si>
    <t>Eagle Security</t>
  </si>
  <si>
    <t>Sol Company</t>
  </si>
  <si>
    <t>September</t>
  </si>
  <si>
    <t>October</t>
  </si>
  <si>
    <t>November</t>
  </si>
  <si>
    <t>December</t>
  </si>
  <si>
    <t>January</t>
  </si>
  <si>
    <t>Qs3.Create a pivot table to show number of category for each country and filter by company type</t>
  </si>
  <si>
    <t>Category</t>
  </si>
  <si>
    <t>Company Type</t>
  </si>
  <si>
    <t>Participant</t>
  </si>
  <si>
    <t>United Kingdom</t>
  </si>
  <si>
    <t>Sales Agent</t>
  </si>
  <si>
    <t>United States</t>
  </si>
  <si>
    <t>Production Company / Content Creation</t>
  </si>
  <si>
    <t>South Africa</t>
  </si>
  <si>
    <t>ISP / Cable / Satellite / Mobile / OTT Operator | Sales Agent</t>
  </si>
  <si>
    <t>Buyer</t>
  </si>
  <si>
    <t>Canada Total</t>
  </si>
  <si>
    <t>TV Channel</t>
  </si>
  <si>
    <t>Post-Production / Studios | Production Company / Content Creation</t>
  </si>
  <si>
    <t>Ecuador Total</t>
  </si>
  <si>
    <t>Production Company / Content Creation | TV Channel</t>
  </si>
  <si>
    <t>Italy</t>
  </si>
  <si>
    <t>Consulting Company (Law Firm, Merchandising, etc)</t>
  </si>
  <si>
    <t>Rights Holder / Distributor</t>
  </si>
  <si>
    <t>Italy Total</t>
  </si>
  <si>
    <t>Singapore</t>
  </si>
  <si>
    <t>Singapore Total</t>
  </si>
  <si>
    <t>Content Management | Sales Agent</t>
  </si>
  <si>
    <t>ISP / Cable / Satellite / Mobile / OTT Operator</t>
  </si>
  <si>
    <t>ISP / Cable / Satellite / Mobile / OTT Operator | Production Company / Content Creation</t>
  </si>
  <si>
    <t>Brazil</t>
  </si>
  <si>
    <t>Technology Provider / OS</t>
  </si>
  <si>
    <t>United States Total</t>
  </si>
  <si>
    <t>Buyer Total</t>
  </si>
  <si>
    <t>Argentina</t>
  </si>
  <si>
    <t>Post-Production / Studios</t>
  </si>
  <si>
    <t>Social Network / Online Publisher</t>
  </si>
  <si>
    <t>Argentina Total</t>
  </si>
  <si>
    <t>Canada</t>
  </si>
  <si>
    <t>Brazil Total</t>
  </si>
  <si>
    <t>Colombia</t>
  </si>
  <si>
    <t>ISP / Cable / Satellite / Mobile / OTT Operator | Rights Holder / Distributor</t>
  </si>
  <si>
    <t>Colombia Total</t>
  </si>
  <si>
    <t>Mexico</t>
  </si>
  <si>
    <t>Mexico Total</t>
  </si>
  <si>
    <t>Nicaragua</t>
  </si>
  <si>
    <t>Nicaragua Total</t>
  </si>
  <si>
    <t>South Africa Total</t>
  </si>
  <si>
    <t>United Kingdom Total</t>
  </si>
  <si>
    <t>Advertising / Media Agency and Brands | Production Company / Content Creation | TV Channel</t>
  </si>
  <si>
    <t>Content Management</t>
  </si>
  <si>
    <t>Content Management | PR / Talent / Literary Agency | Production Company / Content Creation</t>
  </si>
  <si>
    <t>Licensing Agent</t>
  </si>
  <si>
    <t>Official Organization / Association / Schools</t>
  </si>
  <si>
    <t>Official Organization / Association / Schools | Production Company / Content Creation | Social Network / Online Publisher</t>
  </si>
  <si>
    <t>Post-Production / Studios | Sales Agent | TV Channel</t>
  </si>
  <si>
    <t>Ecuador</t>
  </si>
  <si>
    <t>Production Company / Content Creation | Social Network / Online Publisher</t>
  </si>
  <si>
    <t>Participant Total</t>
  </si>
  <si>
    <t>Qs4. Create a pivot table to summarise number of products sold and  total sales of each salesman</t>
  </si>
  <si>
    <t>Salesman</t>
  </si>
  <si>
    <t>Unit_Price</t>
  </si>
  <si>
    <t>Sale_Amout</t>
  </si>
  <si>
    <t>Alexander Total</t>
  </si>
  <si>
    <t>David Total</t>
  </si>
  <si>
    <t>Diana Total</t>
  </si>
  <si>
    <t>John Total</t>
  </si>
  <si>
    <t>Karen Total</t>
  </si>
  <si>
    <t>Luis Total</t>
  </si>
  <si>
    <t>Michael Total</t>
  </si>
  <si>
    <t>Shelli Total</t>
  </si>
  <si>
    <t>Sigal Total</t>
  </si>
  <si>
    <t>Stephen Total</t>
  </si>
  <si>
    <t>Steven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</si>
</sst>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theme="1"/>
      <name val="Calibri"/>
    </font>
    <font>
      <sz val="10.0"/>
      <color theme="1"/>
      <name val="Arial"/>
    </font>
    <font>
      <b/>
      <sz val="10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/>
    </xf>
    <xf borderId="1" fillId="0" fontId="4" numFmtId="0" xfId="0" applyBorder="1" applyFont="1"/>
    <xf borderId="0" fillId="0" fontId="5" numFmtId="0" xfId="0" applyFont="1"/>
    <xf borderId="0" fillId="0" fontId="6" numFmtId="0" xfId="0" applyFont="1"/>
    <xf borderId="1" fillId="0" fontId="4" numFmtId="0" xfId="0" applyAlignment="1" applyBorder="1" applyFont="1">
      <alignment horizontal="left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5.xml"/><Relationship Id="rId12" Type="http://schemas.openxmlformats.org/officeDocument/2006/relationships/pivotCacheDefinition" Target="pivotCache/pivotCacheDefinition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E31" sheet="Qs1"/>
  </cacheSource>
  <cacheFields>
    <cacheField name="Country" numFmtId="0">
      <sharedItems>
        <s v="Australia"/>
        <s v="Chile"/>
        <s v="England"/>
        <s v="France"/>
        <s v="Germany"/>
        <s v="Peru"/>
        <s v="Saudi Arabia"/>
        <s v="Spain"/>
        <s v="Trinidad"/>
      </sharedItems>
    </cacheField>
    <cacheField name="Resort Name" numFmtId="0">
      <sharedItems>
        <s v="Great Barrier Reef"/>
        <s v="Perth"/>
        <s v="Santiago"/>
        <s v="London"/>
        <s v="Bognor"/>
        <s v="Lyon"/>
        <s v="Paris - Euro Disney"/>
        <s v="Nice"/>
        <s v="Toulouse"/>
        <s v="Nimes"/>
        <s v="Black Forest"/>
        <s v="Berlin"/>
        <s v="Lima"/>
        <s v="Riyadh"/>
        <s v="Barcelona"/>
        <s v="Nerja"/>
        <s v="Malaga"/>
        <s v="Seville"/>
        <s v="Madrid"/>
        <s v="Granada"/>
        <s v="Port of Spain"/>
      </sharedItems>
    </cacheField>
    <cacheField name="Travel Method" numFmtId="0">
      <sharedItems>
        <s v="Plane"/>
        <s v="Train"/>
        <s v="Coach"/>
      </sharedItems>
    </cacheField>
    <cacheField name="Price" numFmtId="0">
      <sharedItems containsSemiMixedTypes="0" containsString="0" containsNumber="1" containsInteger="1">
        <n v="750.0"/>
        <n v="985.0"/>
        <n v="1259.0"/>
        <n v="69.0"/>
        <n v="12.0"/>
        <n v="399.0"/>
        <n v="269.0"/>
        <n v="125.0"/>
        <n v="289.0"/>
        <n v="256.0"/>
        <n v="287.0"/>
        <n v="975.0"/>
        <n v="995.0"/>
        <n v="219.0"/>
        <n v="198.0"/>
        <n v="234.0"/>
        <n v="288.0"/>
        <n v="199.0"/>
        <n v="177.0"/>
        <n v="301.0"/>
        <n v="299.0"/>
        <n v="277.0"/>
        <n v="345.0"/>
        <n v="885.0"/>
      </sharedItems>
    </cacheField>
    <cacheField name="Holiday ID" numFmtId="0">
      <sharedItems>
        <s v="I990AUS"/>
        <s v="AUS112J"/>
        <s v="CH266H"/>
        <s v="I456UK"/>
        <s v="BG726H"/>
        <s v="A7995FR"/>
        <s v="TH789FR"/>
        <s v="TH788FR"/>
        <s v="I7897FR"/>
        <s v="SG7637L"/>
        <s v="FR5625J"/>
        <s v="A111G"/>
        <s v="BR6736G"/>
        <s v="PG7836G"/>
        <s v="KSA8987"/>
        <s v="I6675SP"/>
        <s v="TH990ESP"/>
        <s v="A776ESP"/>
        <s v="NM9876Y"/>
        <s v="TH8956SP"/>
        <s v="AJ9836L"/>
        <s v="GG9836P"/>
        <s v="PL8726P"/>
        <s v="SV767HH"/>
        <s v="WE6735L"/>
        <s v="GR7878G"/>
        <s v="TT67624G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H45" sheet="Qs2"/>
  </cacheSource>
  <cacheFields>
    <cacheField name="OrderDate" numFmtId="0">
      <sharedItems containsSemiMixedTypes="0" containsString="0" containsNumber="1" containsInteger="1">
        <n v="43106.0"/>
        <n v="43123.0"/>
        <n v="43140.0"/>
        <n v="43157.0"/>
        <n v="43174.0"/>
        <n v="43191.0"/>
        <n v="43208.0"/>
        <n v="43225.0"/>
        <n v="43242.0"/>
        <n v="43259.0"/>
        <n v="43276.0"/>
        <n v="43293.0"/>
        <n v="43310.0"/>
        <n v="43327.0"/>
        <n v="43344.0"/>
        <n v="43361.0"/>
        <n v="43378.0"/>
        <n v="43395.0"/>
        <n v="43412.0"/>
        <n v="43429.0"/>
        <n v="43446.0"/>
        <n v="43463.0"/>
        <n v="43480.0"/>
        <n v="43497.0"/>
        <n v="43514.0"/>
        <n v="43531.0"/>
        <n v="43548.0"/>
        <n v="43565.0"/>
        <n v="43582.0"/>
        <n v="43599.0"/>
        <n v="43616.0"/>
        <n v="43633.0"/>
        <n v="43650.0"/>
        <n v="43667.0"/>
        <n v="43684.0"/>
        <n v="43701.0"/>
        <n v="43718.0"/>
        <n v="43735.0"/>
        <n v="43752.0"/>
        <n v="43769.0"/>
        <n v="43786.0"/>
        <n v="43803.0"/>
      </sharedItems>
    </cacheField>
    <cacheField name="Region" numFmtId="0">
      <sharedItems>
        <s v="East"/>
        <s v="Central"/>
        <s v="West"/>
      </sharedItems>
    </cacheField>
    <cacheField name="Manager" numFmtId="0">
      <sharedItems>
        <s v="Martha"/>
        <s v="Hermann"/>
        <s v="Timothy"/>
        <s v="Douglas"/>
      </sharedItems>
    </cacheField>
    <cacheField name="SalesMan" numFmtId="0">
      <sharedItems>
        <s v="Alexander"/>
        <s v="Shelli"/>
        <s v="Luis"/>
        <s v="David"/>
        <s v="Stephen"/>
        <s v="Steven"/>
        <s v="Michael"/>
        <s v="Sigal"/>
        <s v="Diana"/>
        <s v="Karen"/>
        <s v="John"/>
      </sharedItems>
    </cacheField>
    <cacheField name="Item" numFmtId="0">
      <sharedItems>
        <s v="Television"/>
        <s v="Home Theater"/>
        <s v="Cell Phone"/>
        <s v="Desk"/>
        <s v="Video Games"/>
      </sharedItems>
    </cacheField>
    <cacheField name="Units" numFmtId="0">
      <sharedItems containsSemiMixedTypes="0" containsString="0" containsNumber="1" containsInteger="1">
        <n v="95.0"/>
        <n v="50.0"/>
        <n v="36.0"/>
        <n v="27.0"/>
        <n v="56.0"/>
        <n v="60.0"/>
        <n v="75.0"/>
        <n v="90.0"/>
        <n v="32.0"/>
        <n v="29.0"/>
        <n v="81.0"/>
        <n v="35.0"/>
        <n v="2.0"/>
        <n v="16.0"/>
        <n v="28.0"/>
        <n v="64.0"/>
        <n v="15.0"/>
        <n v="96.0"/>
        <n v="67.0"/>
        <n v="74.0"/>
        <n v="46.0"/>
        <n v="87.0"/>
        <n v="4.0"/>
        <n v="7.0"/>
        <n v="66.0"/>
        <n v="53.0"/>
        <n v="80.0"/>
        <n v="5.0"/>
        <n v="62.0"/>
        <n v="55.0"/>
        <n v="42.0"/>
        <n v="3.0"/>
        <n v="76.0"/>
        <n v="57.0"/>
        <n v="14.0"/>
        <n v="11.0"/>
        <n v="94.0"/>
      </sharedItems>
    </cacheField>
    <cacheField name="Unit_price" numFmtId="0">
      <sharedItems containsSemiMixedTypes="0" containsString="0" containsNumber="1">
        <n v="1198.0"/>
        <n v="500.0"/>
        <n v="225.0"/>
        <n v="125.0"/>
        <n v="58.5"/>
      </sharedItems>
    </cacheField>
    <cacheField name="Sale_amt" numFmtId="0">
      <sharedItems containsSemiMixedTypes="0" containsString="0" containsNumber="1">
        <n v="113810.0"/>
        <n v="25000.0"/>
        <n v="43128.0"/>
        <n v="6075.0"/>
        <n v="67088.0"/>
        <n v="30000.0"/>
        <n v="89850.0"/>
        <n v="107820.0"/>
        <n v="38336.0"/>
        <n v="14500.0"/>
        <n v="40500.0"/>
        <n v="41930.0"/>
        <n v="250.0"/>
        <n v="936.0"/>
        <n v="14000.0"/>
        <n v="14400.0"/>
        <n v="3375.0"/>
        <n v="5616.0"/>
        <n v="80266.0"/>
        <n v="4329.0"/>
        <n v="23000.0"/>
        <n v="43500.0"/>
        <n v="2000.0"/>
        <n v="3500.0"/>
        <n v="2925.0"/>
        <n v="79068.0"/>
        <n v="21600.0"/>
        <n v="63494.0"/>
        <n v="40000.0"/>
        <n v="625.0"/>
        <n v="3627.0"/>
        <n v="3217.5"/>
        <n v="2457.0"/>
        <n v="375.0"/>
        <n v="8386.0"/>
        <n v="17100.0"/>
        <n v="28500.0"/>
        <n v="16772.0"/>
        <n v="5500.0"/>
        <n v="47000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F45" sheet="Qs3"/>
  </cacheSource>
  <cacheFields>
    <cacheField name="Date" numFmtId="0">
      <sharedItems containsSemiMixedTypes="0" containsString="0" containsNumber="1" containsInteger="1">
        <n v="43661.0"/>
        <n v="43665.0"/>
        <n v="43672.0"/>
        <n v="43688.0"/>
        <n v="43692.0"/>
        <n v="43699.0"/>
        <n v="43701.0"/>
        <n v="43723.0"/>
        <n v="43725.0"/>
        <n v="43754.0"/>
        <n v="43763.0"/>
        <n v="43774.0"/>
        <n v="43788.0"/>
        <n v="43796.0"/>
        <n v="43794.0"/>
        <n v="43798.0"/>
        <n v="43824.0"/>
        <n v="43826.0"/>
        <n v="43829.0"/>
        <n v="43845.0"/>
        <n v="43855.0"/>
        <n v="43859.0"/>
        <n v="43831.0"/>
        <n v="43832.0"/>
        <n v="43833.0"/>
        <n v="43839.0"/>
        <n v="43841.0"/>
        <n v="43842.0"/>
        <n v="43843.0"/>
        <n v="43846.0"/>
        <n v="43847.0"/>
        <n v="43853.0"/>
        <n v="43854.0"/>
      </sharedItems>
    </cacheField>
    <cacheField name="Client" numFmtId="0">
      <sharedItems>
        <s v="ABC Corporation"/>
        <s v="Bridges Company"/>
        <s v="Timefall Inc."/>
        <s v="Chiral Corporation"/>
        <s v="Titan Industries"/>
        <s v="Eagle Security"/>
        <s v="Sol Company"/>
      </sharedItems>
    </cacheField>
    <cacheField name="Region" numFmtId="0">
      <sharedItems>
        <s v="South"/>
        <s v="East"/>
        <s v="North"/>
        <s v="West"/>
      </sharedItems>
    </cacheField>
    <cacheField name="Month" numFmtId="0">
      <sharedItems>
        <s v="July"/>
        <s v="August"/>
        <s v="September"/>
        <s v="October"/>
        <s v="November"/>
        <s v="December"/>
        <s v="January"/>
      </sharedItems>
    </cacheField>
    <cacheField name="Year" numFmtId="0">
      <sharedItems containsSemiMixedTypes="0" containsString="0" containsNumber="1" containsInteger="1">
        <n v="2019.0"/>
      </sharedItems>
    </cacheField>
    <cacheField name="Amount" numFmtId="0">
      <sharedItems containsSemiMixedTypes="0" containsString="0" containsNumber="1" containsInteger="1">
        <n v="1741089.0"/>
        <n v="514989.0"/>
        <n v="230071.0"/>
        <n v="1148912.0"/>
        <n v="405991.0"/>
        <n v="191708.0"/>
        <n v="1757908.0"/>
        <n v="1209282.0"/>
        <n v="1581662.0"/>
        <n v="376043.0"/>
        <n v="1978299.0"/>
        <n v="914785.0"/>
        <n v="1711222.0"/>
        <n v="1257231.0"/>
        <n v="407874.0"/>
        <n v="589765.0"/>
        <n v="485286.0"/>
        <n v="467422.0"/>
        <n v="1838220.0"/>
        <n v="1958181.0"/>
        <n v="1370705.0"/>
        <n v="1683109.0"/>
        <n v="564927.0"/>
        <n v="239424.0"/>
        <n v="774500.0"/>
        <n v="1096869.0"/>
        <n v="1862557.0"/>
        <n v="1437017.0"/>
        <n v="1848717.0"/>
        <n v="1933018.0"/>
        <n v="1987908.0"/>
        <n v="1264058.0"/>
        <n v="1750150.0"/>
        <n v="1495289.0"/>
        <n v="391699.0"/>
        <n v="877778.0"/>
        <n v="1366272.0"/>
        <n v="1766994.0"/>
        <n v="1718743.0"/>
        <n v="538621.0"/>
        <n v="184900.0"/>
        <n v="1598219.0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C111" sheet="Qs4"/>
  </cacheSource>
  <cacheFields>
    <cacheField name="Category" numFmtId="0">
      <sharedItems>
        <s v="Participant"/>
        <s v="Buyer"/>
      </sharedItems>
    </cacheField>
    <cacheField name="Country" numFmtId="0">
      <sharedItems>
        <s v="United Kingdom"/>
        <s v="United States"/>
        <s v="South Africa"/>
        <s v="Chile"/>
        <s v="Brazil"/>
        <s v="Argentina"/>
        <s v="Canada"/>
        <s v="Colombia"/>
        <s v="Italy"/>
        <s v="Mexico"/>
        <s v="Ecuador"/>
        <s v="Singapore"/>
        <s v="Germany"/>
        <s v="Nicaragua"/>
      </sharedItems>
    </cacheField>
    <cacheField name="Company Type" numFmtId="0">
      <sharedItems containsBlank="1">
        <s v="Sales Agent"/>
        <s v="Production Company / Content Creation"/>
        <s v="ISP / Cable / Satellite / Mobile / OTT Operator | Sales Agent"/>
        <s v="TV Channel"/>
        <s v="Production Company / Content Creation | TV Channel"/>
        <s v="Rights Holder / Distributor"/>
        <s v="Post-Production / Studios | Production Company / Content Creation"/>
        <s v="Technology Provider / OS"/>
        <s v="ISP / Cable / Satellite / Mobile / OTT Operator | Production Company / Content Creation"/>
        <s v="Social Network / Online Publisher"/>
        <s v="Post-Production / Studios"/>
        <s v="Consulting Company (Law Firm, Merchandising, etc)"/>
        <s v="ISP / Cable / Satellite / Mobile / OTT Operator"/>
        <s v="Content Management | Sales Agent"/>
        <m/>
        <s v="Production Company / Content Creation | Social Network / Online Publisher"/>
        <s v="Content Management | PR / Talent / Literary Agency | Production Company / Content Creation"/>
        <s v="Content Management"/>
        <s v="Official Organization / Association / Schools"/>
        <s v="ISP / Cable / Satellite / Mobile / OTT Operator | Rights Holder / Distributor"/>
        <s v="Post-Production / Studios | Sales Agent | TV Channel"/>
        <s v="Advertising / Media Agency and Brands | Production Company / Content Creation | TV Channel"/>
        <s v="Licensing Agent"/>
        <s v="Official Organization / Association / Schools | Production Company / Content Creation | Social Network / Online Publisher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H45" sheet="Qs5"/>
  </cacheSource>
  <cacheFields>
    <cacheField name="OrderDate" numFmtId="0">
      <sharedItems containsSemiMixedTypes="0" containsString="0" containsNumber="1" containsInteger="1">
        <n v="43106.0"/>
        <n v="43123.0"/>
        <n v="43140.0"/>
        <n v="43157.0"/>
        <n v="43174.0"/>
        <n v="43191.0"/>
        <n v="43208.0"/>
        <n v="43225.0"/>
        <n v="43242.0"/>
        <n v="43259.0"/>
        <n v="43276.0"/>
        <n v="43293.0"/>
        <n v="43310.0"/>
        <n v="43327.0"/>
        <n v="43344.0"/>
        <n v="43361.0"/>
        <n v="43378.0"/>
        <n v="43395.0"/>
        <n v="43412.0"/>
        <n v="43429.0"/>
        <n v="43446.0"/>
        <n v="43463.0"/>
        <n v="43480.0"/>
        <n v="43497.0"/>
        <n v="43514.0"/>
        <n v="43531.0"/>
        <n v="43548.0"/>
        <n v="43565.0"/>
        <n v="43582.0"/>
        <n v="43599.0"/>
        <n v="43616.0"/>
        <n v="43633.0"/>
        <n v="43650.0"/>
        <n v="43667.0"/>
        <n v="43684.0"/>
        <n v="43701.0"/>
        <n v="43718.0"/>
        <n v="43735.0"/>
        <n v="43752.0"/>
        <n v="43769.0"/>
        <n v="43786.0"/>
        <n v="43803.0"/>
      </sharedItems>
    </cacheField>
    <cacheField name="Region" numFmtId="0">
      <sharedItems>
        <s v="East"/>
        <s v="Central"/>
        <s v="West"/>
      </sharedItems>
    </cacheField>
    <cacheField name="Manager" numFmtId="0">
      <sharedItems>
        <s v="Martha"/>
        <s v="Hermann"/>
        <s v="Timothy"/>
        <s v="Douglas"/>
      </sharedItems>
    </cacheField>
    <cacheField name="Salesman" numFmtId="0">
      <sharedItems>
        <s v="Alexander"/>
        <s v="Shelli"/>
        <s v="Luis"/>
        <s v="David"/>
        <s v="Stephen"/>
        <s v="Steven"/>
        <s v="Michael"/>
        <s v="Sigal"/>
        <s v="Diana"/>
        <s v="Karen"/>
        <s v="John"/>
      </sharedItems>
    </cacheField>
    <cacheField name="Item" numFmtId="0">
      <sharedItems>
        <s v="Television"/>
        <s v="Home Theater"/>
        <s v="Cell Phone"/>
        <s v="Desk"/>
        <s v="Video Games"/>
      </sharedItems>
    </cacheField>
    <cacheField name="Units" numFmtId="0">
      <sharedItems containsSemiMixedTypes="0" containsString="0" containsNumber="1" containsInteger="1">
        <n v="95.0"/>
        <n v="50.0"/>
        <n v="36.0"/>
        <n v="27.0"/>
        <n v="56.0"/>
        <n v="60.0"/>
        <n v="75.0"/>
        <n v="90.0"/>
        <n v="32.0"/>
        <n v="29.0"/>
        <n v="81.0"/>
        <n v="35.0"/>
        <n v="2.0"/>
        <n v="16.0"/>
        <n v="28.0"/>
        <n v="64.0"/>
        <n v="15.0"/>
        <n v="96.0"/>
        <n v="67.0"/>
        <n v="74.0"/>
        <n v="46.0"/>
        <n v="87.0"/>
        <n v="4.0"/>
        <n v="7.0"/>
        <n v="66.0"/>
        <n v="53.0"/>
        <n v="80.0"/>
        <n v="5.0"/>
        <n v="62.0"/>
        <n v="55.0"/>
        <n v="42.0"/>
        <n v="3.0"/>
        <n v="76.0"/>
        <n v="57.0"/>
        <n v="14.0"/>
        <n v="11.0"/>
        <n v="94.0"/>
      </sharedItems>
    </cacheField>
    <cacheField name="Unit_Price" numFmtId="0">
      <sharedItems containsSemiMixedTypes="0" containsString="0" containsNumber="1">
        <n v="1198.0"/>
        <n v="500.0"/>
        <n v="225.0"/>
        <n v="125.0"/>
        <n v="58.5"/>
      </sharedItems>
    </cacheField>
    <cacheField name="Sale_Amout" numFmtId="0">
      <sharedItems containsSemiMixedTypes="0" containsString="0" containsNumber="1">
        <n v="113810.0"/>
        <n v="25000.0"/>
        <n v="43128.0"/>
        <n v="6075.0"/>
        <n v="67088.0"/>
        <n v="30000.0"/>
        <n v="89850.0"/>
        <n v="107820.0"/>
        <n v="38336.0"/>
        <n v="14500.0"/>
        <n v="40500.0"/>
        <n v="41930.0"/>
        <n v="250.0"/>
        <n v="936.0"/>
        <n v="14000.0"/>
        <n v="14400.0"/>
        <n v="3375.0"/>
        <n v="5616.0"/>
        <n v="80266.0"/>
        <n v="4329.0"/>
        <n v="23000.0"/>
        <n v="43500.0"/>
        <n v="2000.0"/>
        <n v="3500.0"/>
        <n v="2925.0"/>
        <n v="79068.0"/>
        <n v="21600.0"/>
        <n v="63494.0"/>
        <n v="40000.0"/>
        <n v="625.0"/>
        <n v="3627.0"/>
        <n v="3217.5"/>
        <n v="2457.0"/>
        <n v="375.0"/>
        <n v="8386.0"/>
        <n v="17100.0"/>
        <n v="28500.0"/>
        <n v="16772.0"/>
        <n v="5500.0"/>
        <n v="470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Qs1" cacheId="0" dataCaption="" compact="0" compactData="0">
  <location ref="H4:K59" firstHeaderRow="0" firstDataRow="3" firstDataCol="0"/>
  <pivotFields>
    <pivotField name="Country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Resort Name" axis="axisRow" compact="0" outline="0" multipleItemSelectionAllowed="1" showAll="0" sortType="ascending">
      <items>
        <item x="14"/>
        <item x="11"/>
        <item x="10"/>
        <item x="4"/>
        <item x="19"/>
        <item x="0"/>
        <item x="12"/>
        <item x="3"/>
        <item x="5"/>
        <item x="18"/>
        <item x="16"/>
        <item x="15"/>
        <item x="7"/>
        <item x="9"/>
        <item x="6"/>
        <item x="1"/>
        <item x="20"/>
        <item x="13"/>
        <item x="2"/>
        <item x="17"/>
        <item x="8"/>
        <item t="default"/>
      </items>
    </pivotField>
    <pivotField name="Travel Method" axis="axisRow" compact="0" outline="0" multipleItemSelectionAllowed="1" showAll="0" sortType="ascending">
      <items>
        <item x="2"/>
        <item x="0"/>
        <item x="1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Holiday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>
    <field x="0"/>
    <field x="1"/>
    <field x="2"/>
  </rowFields>
</pivotTableDefinition>
</file>

<file path=xl/pivotTables/pivotTable2.xml><?xml version="1.0" encoding="utf-8"?>
<pivotTableDefinition xmlns="http://schemas.openxmlformats.org/spreadsheetml/2006/main" name="Qs2" cacheId="1" dataCaption="" compact="0" compactData="0">
  <location ref="N2:R8" firstHeaderRow="0" firstDataRow="1" firstDataCol="1"/>
  <pivotFields>
    <pivotField name="Order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Region" axis="axisCol" compact="0" outline="0" multipleItemSelectionAllowed="1" showAll="0" sortType="ascending">
      <items>
        <item x="1"/>
        <item x="0"/>
        <item x="2"/>
        <item t="default"/>
      </items>
    </pivotField>
    <pivotField name="Manager" axis="axisRow" compact="0" outline="0" multipleItemSelectionAllowed="1" showAll="0" sortType="ascending">
      <items>
        <item x="3"/>
        <item x="1"/>
        <item x="0"/>
        <item x="2"/>
        <item t="default"/>
      </items>
    </pivotField>
    <pivotField name="SalesM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_am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</pivotFields>
  <rowFields>
    <field x="2"/>
  </rowFields>
  <colFields>
    <field x="1"/>
  </colFields>
  <dataFields>
    <dataField name="SUM of Units" fld="5" baseField="0"/>
  </dataFields>
</pivotTableDefinition>
</file>

<file path=xl/pivotTables/pivotTable3.xml><?xml version="1.0" encoding="utf-8"?>
<pivotTableDefinition xmlns="http://schemas.openxmlformats.org/spreadsheetml/2006/main" name="Qs3" cacheId="2" dataCaption="" compact="0" compactData="0">
  <location ref="J6:O15" firstHeaderRow="0" firstDataRow="1" firstDataCol="1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Client" axis="axisRow" compact="0" outline="0" multipleItemSelectionAllowed="1" showAll="0" sortType="ascending">
      <items>
        <item x="0"/>
        <item x="1"/>
        <item x="3"/>
        <item x="5"/>
        <item x="6"/>
        <item x="2"/>
        <item x="4"/>
        <item t="default"/>
      </items>
    </pivotField>
    <pivotField name="Region" axis="axisCol" compact="0" outline="0" multipleItemSelectionAllowed="1" showAll="0" sortType="ascending">
      <items>
        <item x="1"/>
        <item x="2"/>
        <item x="0"/>
        <item x="3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Year" compact="0" outline="0" multipleItemSelectionAllowed="1" showAll="0">
      <items>
        <item x="0"/>
        <item t="default"/>
      </items>
    </pivotField>
    <pivotField name="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</pivotFields>
  <rowFields>
    <field x="1"/>
  </rowFields>
  <colFields>
    <field x="2"/>
  </colFields>
  <dataFields>
    <dataField name="SUM of Amount" fld="5" baseField="0"/>
  </dataFields>
</pivotTableDefinition>
</file>

<file path=xl/pivotTables/pivotTable4.xml><?xml version="1.0" encoding="utf-8"?>
<pivotTableDefinition xmlns="http://schemas.openxmlformats.org/spreadsheetml/2006/main" name="Qs4" cacheId="3" dataCaption="" compact="0" compactData="0">
  <location ref="G6:J69" firstHeaderRow="0" firstDataRow="3" firstDataCol="0"/>
  <pivotFields>
    <pivotField name="Category" axis="axisRow" compact="0" outline="0" multipleItemSelectionAllowed="1" showAll="0" sortType="ascending">
      <items>
        <item x="1"/>
        <item x="0"/>
        <item t="default"/>
      </items>
    </pivotField>
    <pivotField name="Country" axis="axisRow" compact="0" outline="0" multipleItemSelectionAllowed="1" showAll="0" sortType="ascending">
      <items>
        <item x="5"/>
        <item x="4"/>
        <item sd="0" x="6"/>
        <item x="3"/>
        <item x="7"/>
        <item sd="0" x="10"/>
        <item x="12"/>
        <item x="8"/>
        <item x="9"/>
        <item x="13"/>
        <item x="11"/>
        <item x="2"/>
        <item x="0"/>
        <item x="1"/>
        <item t="default"/>
      </items>
    </pivotField>
    <pivotField name="Company Type" axis="axisRow" compact="0" outline="0" multipleItemSelectionAllowed="1" showAll="0" sortType="ascending">
      <items>
        <item x="14"/>
        <item x="21"/>
        <item x="11"/>
        <item x="17"/>
        <item x="16"/>
        <item x="13"/>
        <item x="12"/>
        <item x="8"/>
        <item x="19"/>
        <item x="2"/>
        <item x="22"/>
        <item x="18"/>
        <item x="23"/>
        <item x="10"/>
        <item x="6"/>
        <item x="20"/>
        <item x="1"/>
        <item x="15"/>
        <item x="4"/>
        <item x="5"/>
        <item x="0"/>
        <item x="9"/>
        <item x="7"/>
        <item x="3"/>
        <item t="default"/>
      </items>
    </pivotField>
  </pivotFields>
  <rowFields>
    <field x="0"/>
    <field x="1"/>
    <field x="2"/>
  </rowFields>
</pivotTableDefinition>
</file>

<file path=xl/pivotTables/pivotTable5.xml><?xml version="1.0" encoding="utf-8"?>
<pivotTableDefinition xmlns="http://schemas.openxmlformats.org/spreadsheetml/2006/main" name="Qs5" cacheId="4" dataCaption="" compact="0" compactData="0">
  <location ref="J5:L48" firstHeaderRow="0" firstDataRow="2" firstDataCol="0"/>
  <pivotFields>
    <pivotField name="Order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Manager" compact="0" outline="0" multipleItemSelectionAllowed="1" showAll="0">
      <items>
        <item x="0"/>
        <item x="1"/>
        <item x="2"/>
        <item x="3"/>
        <item t="default"/>
      </items>
    </pivotField>
    <pivotField name="Salesman" axis="axisRow" compact="0" outline="0" multipleItemSelectionAllowed="1" showAll="0" sortType="ascending">
      <items>
        <item x="0"/>
        <item x="3"/>
        <item x="8"/>
        <item x="10"/>
        <item x="9"/>
        <item x="2"/>
        <item x="6"/>
        <item x="1"/>
        <item x="7"/>
        <item x="4"/>
        <item x="5"/>
        <item t="default"/>
      </items>
    </pivotField>
    <pivotField name="Item" axis="axisRow" compact="0" outline="0" multipleItemSelectionAllowed="1" showAll="0" sortType="ascending">
      <items>
        <item x="2"/>
        <item x="3"/>
        <item x="1"/>
        <item x="0"/>
        <item x="4"/>
        <item t="default"/>
      </items>
    </pivotField>
    <pivotField name="Uni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_Amo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</pivotFields>
  <rowFields>
    <field x="3"/>
    <field x="4"/>
  </rowFields>
  <dataFields>
    <dataField name="SUM of Units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7.71"/>
    <col customWidth="1" min="3" max="3" width="17.14"/>
    <col customWidth="1" min="4" max="4" width="7.29"/>
    <col customWidth="1" min="5" max="5" width="36.0"/>
    <col customWidth="1" min="6" max="9" width="8.71"/>
    <col customWidth="1" min="10" max="12" width="11.57"/>
    <col customWidth="1" min="13" max="41" width="8.71"/>
  </cols>
  <sheetData>
    <row r="1" ht="14.25" customHeight="1">
      <c r="A1" s="1" t="s">
        <v>0</v>
      </c>
    </row>
    <row r="2" ht="14.25" customHeight="1">
      <c r="A2" s="2"/>
      <c r="B2" s="2"/>
      <c r="C2" s="2"/>
      <c r="D2" s="2"/>
      <c r="E2" s="2"/>
    </row>
    <row r="3" ht="14.2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ht="14.25" customHeight="1">
      <c r="A4" s="4" t="s">
        <v>6</v>
      </c>
      <c r="B4" s="4" t="s">
        <v>7</v>
      </c>
      <c r="C4" s="4" t="s">
        <v>8</v>
      </c>
      <c r="D4" s="4">
        <v>750.0</v>
      </c>
      <c r="E4" s="4" t="s">
        <v>9</v>
      </c>
    </row>
    <row r="5" ht="14.25" customHeight="1">
      <c r="A5" s="4" t="s">
        <v>6</v>
      </c>
      <c r="B5" s="4" t="s">
        <v>10</v>
      </c>
      <c r="C5" s="4" t="s">
        <v>8</v>
      </c>
      <c r="D5" s="4">
        <v>985.0</v>
      </c>
      <c r="E5" s="4" t="s">
        <v>11</v>
      </c>
    </row>
    <row r="6" ht="14.25" customHeight="1">
      <c r="A6" s="4" t="s">
        <v>12</v>
      </c>
      <c r="B6" s="4" t="s">
        <v>13</v>
      </c>
      <c r="C6" s="4" t="s">
        <v>8</v>
      </c>
      <c r="D6" s="4">
        <v>1259.0</v>
      </c>
      <c r="E6" s="4" t="s">
        <v>14</v>
      </c>
    </row>
    <row r="7" ht="14.25" customHeight="1">
      <c r="A7" s="4" t="s">
        <v>16</v>
      </c>
      <c r="B7" s="4" t="s">
        <v>17</v>
      </c>
      <c r="C7" s="4" t="s">
        <v>18</v>
      </c>
      <c r="D7" s="4">
        <v>69.0</v>
      </c>
      <c r="E7" s="4" t="s">
        <v>19</v>
      </c>
    </row>
    <row r="8" ht="14.25" customHeight="1">
      <c r="A8" s="4" t="s">
        <v>16</v>
      </c>
      <c r="B8" s="4" t="s">
        <v>20</v>
      </c>
      <c r="C8" s="4" t="s">
        <v>21</v>
      </c>
      <c r="D8" s="4">
        <v>12.0</v>
      </c>
      <c r="E8" s="4" t="s">
        <v>22</v>
      </c>
    </row>
    <row r="9" ht="14.25" customHeight="1">
      <c r="A9" s="4" t="s">
        <v>24</v>
      </c>
      <c r="B9" s="4" t="s">
        <v>25</v>
      </c>
      <c r="C9" s="4" t="s">
        <v>8</v>
      </c>
      <c r="D9" s="4">
        <v>399.0</v>
      </c>
      <c r="E9" s="4" t="s">
        <v>26</v>
      </c>
    </row>
    <row r="10" ht="14.25" customHeight="1">
      <c r="A10" s="4" t="s">
        <v>24</v>
      </c>
      <c r="B10" s="4" t="s">
        <v>28</v>
      </c>
      <c r="C10" s="4" t="s">
        <v>18</v>
      </c>
      <c r="D10" s="4">
        <v>269.0</v>
      </c>
      <c r="E10" s="4" t="s">
        <v>29</v>
      </c>
    </row>
    <row r="11" ht="14.25" customHeight="1">
      <c r="A11" s="4" t="s">
        <v>24</v>
      </c>
      <c r="B11" s="4" t="s">
        <v>28</v>
      </c>
      <c r="C11" s="4" t="s">
        <v>18</v>
      </c>
      <c r="D11" s="4">
        <v>125.0</v>
      </c>
      <c r="E11" s="4" t="s">
        <v>30</v>
      </c>
    </row>
    <row r="12" ht="14.25" customHeight="1">
      <c r="A12" s="4" t="s">
        <v>24</v>
      </c>
      <c r="B12" s="4" t="s">
        <v>32</v>
      </c>
      <c r="C12" s="4" t="s">
        <v>8</v>
      </c>
      <c r="D12" s="4">
        <v>289.0</v>
      </c>
      <c r="E12" s="4" t="s">
        <v>33</v>
      </c>
    </row>
    <row r="13" ht="14.25" customHeight="1">
      <c r="A13" s="4" t="s">
        <v>24</v>
      </c>
      <c r="B13" s="4" t="s">
        <v>35</v>
      </c>
      <c r="C13" s="4" t="s">
        <v>18</v>
      </c>
      <c r="D13" s="4">
        <v>256.0</v>
      </c>
      <c r="E13" s="4" t="s">
        <v>36</v>
      </c>
    </row>
    <row r="14" ht="14.25" customHeight="1">
      <c r="A14" s="4" t="s">
        <v>24</v>
      </c>
      <c r="B14" s="4" t="s">
        <v>37</v>
      </c>
      <c r="C14" s="4" t="s">
        <v>8</v>
      </c>
      <c r="D14" s="4">
        <v>287.0</v>
      </c>
      <c r="E14" s="4" t="s">
        <v>38</v>
      </c>
    </row>
    <row r="15" ht="14.25" customHeight="1">
      <c r="A15" s="4" t="s">
        <v>40</v>
      </c>
      <c r="B15" s="4" t="s">
        <v>41</v>
      </c>
      <c r="C15" s="4" t="s">
        <v>21</v>
      </c>
      <c r="D15" s="4">
        <v>69.0</v>
      </c>
      <c r="E15" s="4" t="s">
        <v>42</v>
      </c>
    </row>
    <row r="16" ht="14.25" customHeight="1">
      <c r="A16" s="4" t="s">
        <v>40</v>
      </c>
      <c r="B16" s="4" t="s">
        <v>43</v>
      </c>
      <c r="C16" s="4" t="s">
        <v>21</v>
      </c>
      <c r="D16" s="4">
        <v>289.0</v>
      </c>
      <c r="E16" s="4" t="s">
        <v>44</v>
      </c>
    </row>
    <row r="17" ht="14.25" customHeight="1">
      <c r="A17" s="4" t="s">
        <v>46</v>
      </c>
      <c r="B17" s="4" t="s">
        <v>47</v>
      </c>
      <c r="C17" s="4" t="s">
        <v>8</v>
      </c>
      <c r="D17" s="4">
        <v>975.0</v>
      </c>
      <c r="E17" s="4" t="s">
        <v>48</v>
      </c>
    </row>
    <row r="18" ht="14.25" customHeight="1">
      <c r="A18" s="4" t="s">
        <v>50</v>
      </c>
      <c r="B18" s="4" t="s">
        <v>51</v>
      </c>
      <c r="C18" s="4" t="s">
        <v>8</v>
      </c>
      <c r="D18" s="4">
        <v>995.0</v>
      </c>
      <c r="E18" s="4" t="s">
        <v>52</v>
      </c>
    </row>
    <row r="19" ht="14.25" customHeight="1">
      <c r="A19" s="4" t="s">
        <v>53</v>
      </c>
      <c r="B19" s="4" t="s">
        <v>54</v>
      </c>
      <c r="C19" s="4" t="s">
        <v>18</v>
      </c>
      <c r="D19" s="4">
        <v>219.0</v>
      </c>
      <c r="E19" s="4" t="s">
        <v>55</v>
      </c>
    </row>
    <row r="20" ht="14.25" customHeight="1">
      <c r="A20" s="4" t="s">
        <v>53</v>
      </c>
      <c r="B20" s="4" t="s">
        <v>57</v>
      </c>
      <c r="C20" s="4" t="s">
        <v>8</v>
      </c>
      <c r="D20" s="4">
        <v>198.0</v>
      </c>
      <c r="E20" s="4" t="s">
        <v>58</v>
      </c>
    </row>
    <row r="21" ht="14.25" customHeight="1">
      <c r="A21" s="4" t="s">
        <v>53</v>
      </c>
      <c r="B21" s="4" t="s">
        <v>59</v>
      </c>
      <c r="C21" s="4" t="s">
        <v>8</v>
      </c>
      <c r="D21" s="4">
        <v>234.0</v>
      </c>
      <c r="E21" s="4" t="s">
        <v>60</v>
      </c>
    </row>
    <row r="22" ht="14.25" customHeight="1">
      <c r="A22" s="4" t="s">
        <v>53</v>
      </c>
      <c r="B22" s="4" t="s">
        <v>62</v>
      </c>
      <c r="C22" s="4" t="s">
        <v>8</v>
      </c>
      <c r="D22" s="4">
        <v>288.0</v>
      </c>
      <c r="E22" s="4" t="s">
        <v>63</v>
      </c>
    </row>
    <row r="23" ht="14.25" customHeight="1">
      <c r="A23" s="4" t="s">
        <v>53</v>
      </c>
      <c r="B23" s="4" t="s">
        <v>62</v>
      </c>
      <c r="C23" s="4" t="s">
        <v>8</v>
      </c>
      <c r="D23" s="4">
        <v>199.0</v>
      </c>
      <c r="E23" s="4" t="s">
        <v>64</v>
      </c>
    </row>
    <row r="24" ht="14.25" customHeight="1">
      <c r="A24" s="4" t="s">
        <v>53</v>
      </c>
      <c r="B24" s="4" t="s">
        <v>54</v>
      </c>
      <c r="C24" s="4" t="s">
        <v>8</v>
      </c>
      <c r="D24" s="4">
        <v>177.0</v>
      </c>
      <c r="E24" s="4" t="s">
        <v>66</v>
      </c>
    </row>
    <row r="25" ht="14.25" customHeight="1">
      <c r="A25" s="4" t="s">
        <v>53</v>
      </c>
      <c r="B25" s="4" t="s">
        <v>54</v>
      </c>
      <c r="C25" s="4" t="s">
        <v>21</v>
      </c>
      <c r="D25" s="4">
        <v>199.0</v>
      </c>
      <c r="E25" s="4" t="s">
        <v>67</v>
      </c>
    </row>
    <row r="26" ht="14.25" customHeight="1">
      <c r="A26" s="4" t="s">
        <v>53</v>
      </c>
      <c r="B26" s="4" t="s">
        <v>59</v>
      </c>
      <c r="C26" s="4" t="s">
        <v>8</v>
      </c>
      <c r="D26" s="4">
        <v>301.0</v>
      </c>
      <c r="E26" s="4" t="s">
        <v>69</v>
      </c>
    </row>
    <row r="27" ht="14.25" customHeight="1">
      <c r="A27" s="4" t="s">
        <v>53</v>
      </c>
      <c r="B27" s="4" t="s">
        <v>54</v>
      </c>
      <c r="C27" s="4" t="s">
        <v>18</v>
      </c>
      <c r="D27" s="4">
        <v>219.0</v>
      </c>
      <c r="E27" s="4" t="s">
        <v>55</v>
      </c>
    </row>
    <row r="28" ht="14.25" customHeight="1">
      <c r="A28" s="4" t="s">
        <v>53</v>
      </c>
      <c r="B28" s="4" t="s">
        <v>62</v>
      </c>
      <c r="C28" s="4" t="s">
        <v>18</v>
      </c>
      <c r="D28" s="4">
        <v>299.0</v>
      </c>
      <c r="E28" s="4" t="s">
        <v>71</v>
      </c>
    </row>
    <row r="29" ht="14.25" customHeight="1">
      <c r="A29" s="4" t="s">
        <v>53</v>
      </c>
      <c r="B29" s="4" t="s">
        <v>73</v>
      </c>
      <c r="C29" s="4" t="s">
        <v>8</v>
      </c>
      <c r="D29" s="4">
        <v>277.0</v>
      </c>
      <c r="E29" s="4" t="s">
        <v>74</v>
      </c>
    </row>
    <row r="30" ht="14.25" customHeight="1">
      <c r="A30" s="4" t="s">
        <v>53</v>
      </c>
      <c r="B30" s="4" t="s">
        <v>75</v>
      </c>
      <c r="C30" s="4" t="s">
        <v>8</v>
      </c>
      <c r="D30" s="4">
        <v>345.0</v>
      </c>
      <c r="E30" s="4" t="s">
        <v>76</v>
      </c>
    </row>
    <row r="31" ht="14.25" customHeight="1">
      <c r="A31" s="4" t="s">
        <v>78</v>
      </c>
      <c r="B31" s="4" t="s">
        <v>79</v>
      </c>
      <c r="C31" s="4" t="s">
        <v>8</v>
      </c>
      <c r="D31" s="4">
        <v>885.0</v>
      </c>
      <c r="E31" s="4" t="s">
        <v>80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E1"/>
  </mergeCell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3" width="8.71"/>
    <col customWidth="1" min="4" max="4" width="15.29"/>
    <col customWidth="1" min="5" max="5" width="15.86"/>
    <col customWidth="1" min="6" max="6" width="8.71"/>
    <col customWidth="1" min="7" max="7" width="11.86"/>
    <col customWidth="1" min="8" max="17" width="8.71"/>
    <col customWidth="1" min="18" max="18" width="21.71"/>
    <col customWidth="1" min="19" max="26" width="8.71"/>
  </cols>
  <sheetData>
    <row r="1" ht="14.25" customHeight="1">
      <c r="A1" s="6" t="s">
        <v>97</v>
      </c>
    </row>
    <row r="2" ht="14.25" customHeight="1"/>
    <row r="3" ht="14.25" customHeight="1">
      <c r="A3" s="3" t="s">
        <v>100</v>
      </c>
      <c r="B3" s="3" t="s">
        <v>99</v>
      </c>
      <c r="C3" s="3" t="s">
        <v>101</v>
      </c>
      <c r="D3" s="3" t="s">
        <v>102</v>
      </c>
      <c r="E3" s="3" t="s">
        <v>103</v>
      </c>
      <c r="F3" s="3" t="s">
        <v>104</v>
      </c>
      <c r="G3" s="3" t="s">
        <v>105</v>
      </c>
      <c r="H3" s="3" t="s">
        <v>106</v>
      </c>
    </row>
    <row r="4" ht="14.25" customHeight="1">
      <c r="A4" s="7">
        <v>43106.0</v>
      </c>
      <c r="B4" s="4" t="s">
        <v>108</v>
      </c>
      <c r="C4" s="4" t="s">
        <v>110</v>
      </c>
      <c r="D4" s="4" t="s">
        <v>111</v>
      </c>
      <c r="E4" s="4" t="s">
        <v>112</v>
      </c>
      <c r="F4" s="4">
        <v>95.0</v>
      </c>
      <c r="G4" s="4">
        <v>1198.0</v>
      </c>
      <c r="H4" s="4">
        <f t="shared" ref="H4:H45" si="1">F4*G4</f>
        <v>113810</v>
      </c>
    </row>
    <row r="5" ht="14.25" customHeight="1">
      <c r="A5" s="7">
        <v>43123.0</v>
      </c>
      <c r="B5" s="4" t="s">
        <v>107</v>
      </c>
      <c r="C5" s="4" t="s">
        <v>114</v>
      </c>
      <c r="D5" s="4" t="s">
        <v>115</v>
      </c>
      <c r="E5" s="4" t="s">
        <v>116</v>
      </c>
      <c r="F5" s="4">
        <v>50.0</v>
      </c>
      <c r="G5" s="4">
        <v>500.0</v>
      </c>
      <c r="H5" s="4">
        <f t="shared" si="1"/>
        <v>25000</v>
      </c>
    </row>
    <row r="6" ht="14.25" customHeight="1">
      <c r="A6" s="7">
        <v>43140.0</v>
      </c>
      <c r="B6" s="4" t="s">
        <v>107</v>
      </c>
      <c r="C6" s="4" t="s">
        <v>114</v>
      </c>
      <c r="D6" s="4" t="s">
        <v>117</v>
      </c>
      <c r="E6" s="4" t="s">
        <v>112</v>
      </c>
      <c r="F6" s="4">
        <v>36.0</v>
      </c>
      <c r="G6" s="4">
        <v>1198.0</v>
      </c>
      <c r="H6" s="4">
        <f t="shared" si="1"/>
        <v>43128</v>
      </c>
    </row>
    <row r="7" ht="14.25" customHeight="1">
      <c r="A7" s="7">
        <v>43157.0</v>
      </c>
      <c r="B7" s="4" t="s">
        <v>107</v>
      </c>
      <c r="C7" s="4" t="s">
        <v>118</v>
      </c>
      <c r="D7" s="4" t="s">
        <v>119</v>
      </c>
      <c r="E7" s="4" t="s">
        <v>120</v>
      </c>
      <c r="F7" s="4">
        <v>27.0</v>
      </c>
      <c r="G7" s="4">
        <v>225.0</v>
      </c>
      <c r="H7" s="4">
        <f t="shared" si="1"/>
        <v>6075</v>
      </c>
    </row>
    <row r="8" ht="14.25" customHeight="1">
      <c r="A8" s="7">
        <v>43174.0</v>
      </c>
      <c r="B8" s="4" t="s">
        <v>109</v>
      </c>
      <c r="C8" s="4" t="s">
        <v>118</v>
      </c>
      <c r="D8" s="4" t="s">
        <v>121</v>
      </c>
      <c r="E8" s="4" t="s">
        <v>112</v>
      </c>
      <c r="F8" s="4">
        <v>56.0</v>
      </c>
      <c r="G8" s="4">
        <v>1198.0</v>
      </c>
      <c r="H8" s="4">
        <f t="shared" si="1"/>
        <v>67088</v>
      </c>
    </row>
    <row r="9" ht="14.25" customHeight="1">
      <c r="A9" s="7">
        <v>43191.0</v>
      </c>
      <c r="B9" s="4" t="s">
        <v>108</v>
      </c>
      <c r="C9" s="4" t="s">
        <v>110</v>
      </c>
      <c r="D9" s="4" t="s">
        <v>111</v>
      </c>
      <c r="E9" s="4" t="s">
        <v>116</v>
      </c>
      <c r="F9" s="4">
        <v>60.0</v>
      </c>
      <c r="G9" s="4">
        <v>500.0</v>
      </c>
      <c r="H9" s="4">
        <f t="shared" si="1"/>
        <v>30000</v>
      </c>
    </row>
    <row r="10" ht="14.25" customHeight="1">
      <c r="A10" s="7">
        <v>43208.0</v>
      </c>
      <c r="B10" s="4" t="s">
        <v>107</v>
      </c>
      <c r="C10" s="4" t="s">
        <v>110</v>
      </c>
      <c r="D10" s="4" t="s">
        <v>122</v>
      </c>
      <c r="E10" s="4" t="s">
        <v>112</v>
      </c>
      <c r="F10" s="4">
        <v>75.0</v>
      </c>
      <c r="G10" s="4">
        <v>1198.0</v>
      </c>
      <c r="H10" s="4">
        <f t="shared" si="1"/>
        <v>89850</v>
      </c>
    </row>
    <row r="11" ht="14.25" customHeight="1">
      <c r="A11" s="7">
        <v>43225.0</v>
      </c>
      <c r="B11" s="4" t="s">
        <v>107</v>
      </c>
      <c r="C11" s="4" t="s">
        <v>114</v>
      </c>
      <c r="D11" s="4" t="s">
        <v>117</v>
      </c>
      <c r="E11" s="4" t="s">
        <v>112</v>
      </c>
      <c r="F11" s="4">
        <v>90.0</v>
      </c>
      <c r="G11" s="4">
        <v>1198.0</v>
      </c>
      <c r="H11" s="4">
        <f t="shared" si="1"/>
        <v>107820</v>
      </c>
    </row>
    <row r="12" ht="14.25" customHeight="1">
      <c r="A12" s="7">
        <v>43242.0</v>
      </c>
      <c r="B12" s="4" t="s">
        <v>109</v>
      </c>
      <c r="C12" s="4" t="s">
        <v>113</v>
      </c>
      <c r="D12" s="4" t="s">
        <v>123</v>
      </c>
      <c r="E12" s="4" t="s">
        <v>112</v>
      </c>
      <c r="F12" s="4">
        <v>32.0</v>
      </c>
      <c r="G12" s="4">
        <v>1198.0</v>
      </c>
      <c r="H12" s="4">
        <f t="shared" si="1"/>
        <v>38336</v>
      </c>
    </row>
    <row r="13" ht="14.25" customHeight="1">
      <c r="A13" s="7">
        <v>43259.0</v>
      </c>
      <c r="B13" s="4" t="s">
        <v>108</v>
      </c>
      <c r="C13" s="4" t="s">
        <v>110</v>
      </c>
      <c r="D13" s="4" t="s">
        <v>111</v>
      </c>
      <c r="E13" s="4" t="s">
        <v>116</v>
      </c>
      <c r="F13" s="4">
        <v>60.0</v>
      </c>
      <c r="G13" s="4">
        <v>500.0</v>
      </c>
      <c r="H13" s="4">
        <f t="shared" si="1"/>
        <v>30000</v>
      </c>
    </row>
    <row r="14" ht="14.25" customHeight="1">
      <c r="A14" s="7">
        <v>43276.0</v>
      </c>
      <c r="B14" s="4" t="s">
        <v>107</v>
      </c>
      <c r="C14" s="4" t="s">
        <v>114</v>
      </c>
      <c r="D14" s="4" t="s">
        <v>124</v>
      </c>
      <c r="E14" s="4" t="s">
        <v>112</v>
      </c>
      <c r="F14" s="4">
        <v>90.0</v>
      </c>
      <c r="G14" s="4">
        <v>1198.0</v>
      </c>
      <c r="H14" s="4">
        <f t="shared" si="1"/>
        <v>107820</v>
      </c>
    </row>
    <row r="15" ht="14.25" customHeight="1">
      <c r="A15" s="7">
        <v>43293.0</v>
      </c>
      <c r="B15" s="4" t="s">
        <v>108</v>
      </c>
      <c r="C15" s="4" t="s">
        <v>110</v>
      </c>
      <c r="D15" s="4" t="s">
        <v>125</v>
      </c>
      <c r="E15" s="4" t="s">
        <v>116</v>
      </c>
      <c r="F15" s="4">
        <v>29.0</v>
      </c>
      <c r="G15" s="4">
        <v>500.0</v>
      </c>
      <c r="H15" s="4">
        <f t="shared" si="1"/>
        <v>14500</v>
      </c>
    </row>
    <row r="16" ht="14.25" customHeight="1">
      <c r="A16" s="7">
        <v>43310.0</v>
      </c>
      <c r="B16" s="4" t="s">
        <v>108</v>
      </c>
      <c r="C16" s="4" t="s">
        <v>113</v>
      </c>
      <c r="D16" s="4" t="s">
        <v>126</v>
      </c>
      <c r="E16" s="4" t="s">
        <v>116</v>
      </c>
      <c r="F16" s="4">
        <v>81.0</v>
      </c>
      <c r="G16" s="4">
        <v>500.0</v>
      </c>
      <c r="H16" s="4">
        <f t="shared" si="1"/>
        <v>40500</v>
      </c>
    </row>
    <row r="17" ht="14.25" customHeight="1">
      <c r="A17" s="7">
        <v>43327.0</v>
      </c>
      <c r="B17" s="4" t="s">
        <v>108</v>
      </c>
      <c r="C17" s="4" t="s">
        <v>110</v>
      </c>
      <c r="D17" s="4" t="s">
        <v>111</v>
      </c>
      <c r="E17" s="4" t="s">
        <v>112</v>
      </c>
      <c r="F17" s="4">
        <v>35.0</v>
      </c>
      <c r="G17" s="4">
        <v>1198.0</v>
      </c>
      <c r="H17" s="4">
        <f t="shared" si="1"/>
        <v>41930</v>
      </c>
    </row>
    <row r="18" ht="14.25" customHeight="1">
      <c r="A18" s="7">
        <v>43344.0</v>
      </c>
      <c r="B18" s="4" t="s">
        <v>107</v>
      </c>
      <c r="C18" s="4" t="s">
        <v>113</v>
      </c>
      <c r="D18" s="4" t="s">
        <v>127</v>
      </c>
      <c r="E18" s="4" t="s">
        <v>128</v>
      </c>
      <c r="F18" s="4">
        <v>2.0</v>
      </c>
      <c r="G18" s="4">
        <v>125.0</v>
      </c>
      <c r="H18" s="4">
        <f t="shared" si="1"/>
        <v>250</v>
      </c>
    </row>
    <row r="19" ht="14.25" customHeight="1">
      <c r="A19" s="7">
        <v>43361.0</v>
      </c>
      <c r="B19" s="4" t="s">
        <v>108</v>
      </c>
      <c r="C19" s="4" t="s">
        <v>110</v>
      </c>
      <c r="D19" s="4" t="s">
        <v>111</v>
      </c>
      <c r="E19" s="4" t="s">
        <v>129</v>
      </c>
      <c r="F19" s="4">
        <v>16.0</v>
      </c>
      <c r="G19" s="4">
        <v>58.5</v>
      </c>
      <c r="H19" s="4">
        <f t="shared" si="1"/>
        <v>936</v>
      </c>
    </row>
    <row r="20" ht="14.25" customHeight="1">
      <c r="A20" s="7">
        <v>43378.0</v>
      </c>
      <c r="B20" s="4" t="s">
        <v>107</v>
      </c>
      <c r="C20" s="4" t="s">
        <v>114</v>
      </c>
      <c r="D20" s="4" t="s">
        <v>124</v>
      </c>
      <c r="E20" s="4" t="s">
        <v>116</v>
      </c>
      <c r="F20" s="4">
        <v>28.0</v>
      </c>
      <c r="G20" s="4">
        <v>500.0</v>
      </c>
      <c r="H20" s="4">
        <f t="shared" si="1"/>
        <v>14000</v>
      </c>
    </row>
    <row r="21" ht="14.25" customHeight="1">
      <c r="A21" s="7">
        <v>43395.0</v>
      </c>
      <c r="B21" s="4" t="s">
        <v>108</v>
      </c>
      <c r="C21" s="4" t="s">
        <v>110</v>
      </c>
      <c r="D21" s="4" t="s">
        <v>111</v>
      </c>
      <c r="E21" s="4" t="s">
        <v>120</v>
      </c>
      <c r="F21" s="4">
        <v>64.0</v>
      </c>
      <c r="G21" s="4">
        <v>225.0</v>
      </c>
      <c r="H21" s="4">
        <f t="shared" si="1"/>
        <v>14400</v>
      </c>
    </row>
    <row r="22" ht="14.25" customHeight="1">
      <c r="A22" s="7">
        <v>43412.0</v>
      </c>
      <c r="B22" s="4" t="s">
        <v>108</v>
      </c>
      <c r="C22" s="4" t="s">
        <v>113</v>
      </c>
      <c r="D22" s="4" t="s">
        <v>126</v>
      </c>
      <c r="E22" s="4" t="s">
        <v>120</v>
      </c>
      <c r="F22" s="4">
        <v>15.0</v>
      </c>
      <c r="G22" s="4">
        <v>225.0</v>
      </c>
      <c r="H22" s="4">
        <f t="shared" si="1"/>
        <v>3375</v>
      </c>
    </row>
    <row r="23" ht="14.25" customHeight="1">
      <c r="A23" s="7">
        <v>43429.0</v>
      </c>
      <c r="B23" s="4" t="s">
        <v>107</v>
      </c>
      <c r="C23" s="4" t="s">
        <v>114</v>
      </c>
      <c r="D23" s="4" t="s">
        <v>115</v>
      </c>
      <c r="E23" s="4" t="s">
        <v>129</v>
      </c>
      <c r="F23" s="4">
        <v>96.0</v>
      </c>
      <c r="G23" s="4">
        <v>58.5</v>
      </c>
      <c r="H23" s="4">
        <f t="shared" si="1"/>
        <v>5616</v>
      </c>
    </row>
    <row r="24" ht="14.25" customHeight="1">
      <c r="A24" s="7">
        <v>43446.0</v>
      </c>
      <c r="B24" s="4" t="s">
        <v>107</v>
      </c>
      <c r="C24" s="4" t="s">
        <v>113</v>
      </c>
      <c r="D24" s="4" t="s">
        <v>127</v>
      </c>
      <c r="E24" s="4" t="s">
        <v>112</v>
      </c>
      <c r="F24" s="4">
        <v>67.0</v>
      </c>
      <c r="G24" s="4">
        <v>1198.0</v>
      </c>
      <c r="H24" s="4">
        <f t="shared" si="1"/>
        <v>80266</v>
      </c>
    </row>
    <row r="25" ht="14.25" customHeight="1">
      <c r="A25" s="7">
        <v>43463.0</v>
      </c>
      <c r="B25" s="4" t="s">
        <v>108</v>
      </c>
      <c r="C25" s="4" t="s">
        <v>113</v>
      </c>
      <c r="D25" s="4" t="s">
        <v>126</v>
      </c>
      <c r="E25" s="4" t="s">
        <v>129</v>
      </c>
      <c r="F25" s="4">
        <v>74.0</v>
      </c>
      <c r="G25" s="4">
        <v>58.5</v>
      </c>
      <c r="H25" s="4">
        <f t="shared" si="1"/>
        <v>4329</v>
      </c>
    </row>
    <row r="26" ht="14.25" customHeight="1">
      <c r="A26" s="7">
        <v>43480.0</v>
      </c>
      <c r="B26" s="4" t="s">
        <v>107</v>
      </c>
      <c r="C26" s="4" t="s">
        <v>118</v>
      </c>
      <c r="D26" s="4" t="s">
        <v>119</v>
      </c>
      <c r="E26" s="4" t="s">
        <v>116</v>
      </c>
      <c r="F26" s="4">
        <v>46.0</v>
      </c>
      <c r="G26" s="4">
        <v>500.0</v>
      </c>
      <c r="H26" s="4">
        <f t="shared" si="1"/>
        <v>23000</v>
      </c>
    </row>
    <row r="27" ht="14.25" customHeight="1">
      <c r="A27" s="7">
        <v>43497.0</v>
      </c>
      <c r="B27" s="4" t="s">
        <v>107</v>
      </c>
      <c r="C27" s="4" t="s">
        <v>113</v>
      </c>
      <c r="D27" s="4" t="s">
        <v>127</v>
      </c>
      <c r="E27" s="4" t="s">
        <v>116</v>
      </c>
      <c r="F27" s="4">
        <v>87.0</v>
      </c>
      <c r="G27" s="4">
        <v>500.0</v>
      </c>
      <c r="H27" s="4">
        <f t="shared" si="1"/>
        <v>43500</v>
      </c>
    </row>
    <row r="28" ht="14.25" customHeight="1">
      <c r="A28" s="7">
        <v>43514.0</v>
      </c>
      <c r="B28" s="4" t="s">
        <v>108</v>
      </c>
      <c r="C28" s="4" t="s">
        <v>110</v>
      </c>
      <c r="D28" s="4" t="s">
        <v>111</v>
      </c>
      <c r="E28" s="4" t="s">
        <v>116</v>
      </c>
      <c r="F28" s="4">
        <v>4.0</v>
      </c>
      <c r="G28" s="4">
        <v>500.0</v>
      </c>
      <c r="H28" s="4">
        <f t="shared" si="1"/>
        <v>2000</v>
      </c>
    </row>
    <row r="29" ht="14.25" customHeight="1">
      <c r="A29" s="7">
        <v>43531.0</v>
      </c>
      <c r="B29" s="4" t="s">
        <v>109</v>
      </c>
      <c r="C29" s="4" t="s">
        <v>118</v>
      </c>
      <c r="D29" s="4" t="s">
        <v>121</v>
      </c>
      <c r="E29" s="4" t="s">
        <v>116</v>
      </c>
      <c r="F29" s="4">
        <v>7.0</v>
      </c>
      <c r="G29" s="4">
        <v>500.0</v>
      </c>
      <c r="H29" s="4">
        <f t="shared" si="1"/>
        <v>3500</v>
      </c>
    </row>
    <row r="30" ht="14.25" customHeight="1">
      <c r="A30" s="7">
        <v>43548.0</v>
      </c>
      <c r="B30" s="4" t="s">
        <v>107</v>
      </c>
      <c r="C30" s="4" t="s">
        <v>114</v>
      </c>
      <c r="D30" s="4" t="s">
        <v>117</v>
      </c>
      <c r="E30" s="4" t="s">
        <v>129</v>
      </c>
      <c r="F30" s="4">
        <v>50.0</v>
      </c>
      <c r="G30" s="4">
        <v>58.5</v>
      </c>
      <c r="H30" s="4">
        <f t="shared" si="1"/>
        <v>2925</v>
      </c>
    </row>
    <row r="31" ht="14.25" customHeight="1">
      <c r="A31" s="7">
        <v>43565.0</v>
      </c>
      <c r="B31" s="4" t="s">
        <v>107</v>
      </c>
      <c r="C31" s="4" t="s">
        <v>110</v>
      </c>
      <c r="D31" s="4" t="s">
        <v>122</v>
      </c>
      <c r="E31" s="4" t="s">
        <v>112</v>
      </c>
      <c r="F31" s="4">
        <v>66.0</v>
      </c>
      <c r="G31" s="4">
        <v>1198.0</v>
      </c>
      <c r="H31" s="4">
        <f t="shared" si="1"/>
        <v>79068</v>
      </c>
    </row>
    <row r="32" ht="14.25" customHeight="1">
      <c r="A32" s="7">
        <v>43582.0</v>
      </c>
      <c r="B32" s="4" t="s">
        <v>108</v>
      </c>
      <c r="C32" s="4" t="s">
        <v>110</v>
      </c>
      <c r="D32" s="4" t="s">
        <v>125</v>
      </c>
      <c r="E32" s="4" t="s">
        <v>120</v>
      </c>
      <c r="F32" s="4">
        <v>96.0</v>
      </c>
      <c r="G32" s="4">
        <v>225.0</v>
      </c>
      <c r="H32" s="4">
        <f t="shared" si="1"/>
        <v>21600</v>
      </c>
    </row>
    <row r="33" ht="14.25" customHeight="1">
      <c r="A33" s="7">
        <v>43599.0</v>
      </c>
      <c r="B33" s="4" t="s">
        <v>107</v>
      </c>
      <c r="C33" s="4" t="s">
        <v>118</v>
      </c>
      <c r="D33" s="4" t="s">
        <v>119</v>
      </c>
      <c r="E33" s="4" t="s">
        <v>112</v>
      </c>
      <c r="F33" s="4">
        <v>53.0</v>
      </c>
      <c r="G33" s="4">
        <v>1198.0</v>
      </c>
      <c r="H33" s="4">
        <f t="shared" si="1"/>
        <v>63494</v>
      </c>
    </row>
    <row r="34" ht="14.25" customHeight="1">
      <c r="A34" s="7">
        <v>43616.0</v>
      </c>
      <c r="B34" s="4" t="s">
        <v>107</v>
      </c>
      <c r="C34" s="4" t="s">
        <v>118</v>
      </c>
      <c r="D34" s="4" t="s">
        <v>119</v>
      </c>
      <c r="E34" s="4" t="s">
        <v>116</v>
      </c>
      <c r="F34" s="4">
        <v>80.0</v>
      </c>
      <c r="G34" s="4">
        <v>500.0</v>
      </c>
      <c r="H34" s="4">
        <f t="shared" si="1"/>
        <v>40000</v>
      </c>
    </row>
    <row r="35" ht="14.25" customHeight="1">
      <c r="A35" s="7">
        <v>43633.0</v>
      </c>
      <c r="B35" s="4" t="s">
        <v>107</v>
      </c>
      <c r="C35" s="4" t="s">
        <v>114</v>
      </c>
      <c r="D35" s="4" t="s">
        <v>115</v>
      </c>
      <c r="E35" s="4" t="s">
        <v>128</v>
      </c>
      <c r="F35" s="4">
        <v>5.0</v>
      </c>
      <c r="G35" s="4">
        <v>125.0</v>
      </c>
      <c r="H35" s="4">
        <f t="shared" si="1"/>
        <v>625</v>
      </c>
    </row>
    <row r="36" ht="14.25" customHeight="1">
      <c r="A36" s="7">
        <v>43650.0</v>
      </c>
      <c r="B36" s="4" t="s">
        <v>108</v>
      </c>
      <c r="C36" s="4" t="s">
        <v>110</v>
      </c>
      <c r="D36" s="4" t="s">
        <v>111</v>
      </c>
      <c r="E36" s="4" t="s">
        <v>129</v>
      </c>
      <c r="F36" s="4">
        <v>62.0</v>
      </c>
      <c r="G36" s="4">
        <v>58.5</v>
      </c>
      <c r="H36" s="4">
        <f t="shared" si="1"/>
        <v>3627</v>
      </c>
    </row>
    <row r="37" ht="14.25" customHeight="1">
      <c r="A37" s="7">
        <v>43667.0</v>
      </c>
      <c r="B37" s="4" t="s">
        <v>107</v>
      </c>
      <c r="C37" s="4" t="s">
        <v>114</v>
      </c>
      <c r="D37" s="4" t="s">
        <v>124</v>
      </c>
      <c r="E37" s="4" t="s">
        <v>129</v>
      </c>
      <c r="F37" s="4">
        <v>55.0</v>
      </c>
      <c r="G37" s="4">
        <v>58.5</v>
      </c>
      <c r="H37" s="4">
        <f t="shared" si="1"/>
        <v>3217.5</v>
      </c>
    </row>
    <row r="38" ht="14.25" customHeight="1">
      <c r="A38" s="7">
        <v>43684.0</v>
      </c>
      <c r="B38" s="4" t="s">
        <v>107</v>
      </c>
      <c r="C38" s="4" t="s">
        <v>114</v>
      </c>
      <c r="D38" s="4" t="s">
        <v>115</v>
      </c>
      <c r="E38" s="4" t="s">
        <v>129</v>
      </c>
      <c r="F38" s="4">
        <v>42.0</v>
      </c>
      <c r="G38" s="4">
        <v>58.5</v>
      </c>
      <c r="H38" s="4">
        <f t="shared" si="1"/>
        <v>2457</v>
      </c>
    </row>
    <row r="39" ht="14.25" customHeight="1">
      <c r="A39" s="7">
        <v>43701.0</v>
      </c>
      <c r="B39" s="4" t="s">
        <v>109</v>
      </c>
      <c r="C39" s="4" t="s">
        <v>118</v>
      </c>
      <c r="D39" s="4" t="s">
        <v>121</v>
      </c>
      <c r="E39" s="4" t="s">
        <v>128</v>
      </c>
      <c r="F39" s="4">
        <v>3.0</v>
      </c>
      <c r="G39" s="4">
        <v>125.0</v>
      </c>
      <c r="H39" s="4">
        <f t="shared" si="1"/>
        <v>375</v>
      </c>
    </row>
    <row r="40" ht="14.25" customHeight="1">
      <c r="A40" s="7">
        <v>43718.0</v>
      </c>
      <c r="B40" s="4" t="s">
        <v>107</v>
      </c>
      <c r="C40" s="4" t="s">
        <v>118</v>
      </c>
      <c r="D40" s="4" t="s">
        <v>119</v>
      </c>
      <c r="E40" s="4" t="s">
        <v>112</v>
      </c>
      <c r="F40" s="4">
        <v>7.0</v>
      </c>
      <c r="G40" s="4">
        <v>1198.0</v>
      </c>
      <c r="H40" s="4">
        <f t="shared" si="1"/>
        <v>8386</v>
      </c>
    </row>
    <row r="41" ht="14.25" customHeight="1">
      <c r="A41" s="7">
        <v>43735.0</v>
      </c>
      <c r="B41" s="4" t="s">
        <v>109</v>
      </c>
      <c r="C41" s="4" t="s">
        <v>118</v>
      </c>
      <c r="D41" s="4" t="s">
        <v>121</v>
      </c>
      <c r="E41" s="4" t="s">
        <v>120</v>
      </c>
      <c r="F41" s="4">
        <v>76.0</v>
      </c>
      <c r="G41" s="4">
        <v>225.0</v>
      </c>
      <c r="H41" s="4">
        <f t="shared" si="1"/>
        <v>17100</v>
      </c>
    </row>
    <row r="42" ht="14.25" customHeight="1">
      <c r="A42" s="7">
        <v>43752.0</v>
      </c>
      <c r="B42" s="4" t="s">
        <v>109</v>
      </c>
      <c r="C42" s="4" t="s">
        <v>113</v>
      </c>
      <c r="D42" s="4" t="s">
        <v>123</v>
      </c>
      <c r="E42" s="4" t="s">
        <v>116</v>
      </c>
      <c r="F42" s="4">
        <v>57.0</v>
      </c>
      <c r="G42" s="4">
        <v>500.0</v>
      </c>
      <c r="H42" s="4">
        <f t="shared" si="1"/>
        <v>28500</v>
      </c>
    </row>
    <row r="43" ht="14.25" customHeight="1">
      <c r="A43" s="7">
        <v>43769.0</v>
      </c>
      <c r="B43" s="4" t="s">
        <v>107</v>
      </c>
      <c r="C43" s="4" t="s">
        <v>110</v>
      </c>
      <c r="D43" s="4" t="s">
        <v>122</v>
      </c>
      <c r="E43" s="4" t="s">
        <v>112</v>
      </c>
      <c r="F43" s="4">
        <v>14.0</v>
      </c>
      <c r="G43" s="4">
        <v>1198.0</v>
      </c>
      <c r="H43" s="4">
        <f t="shared" si="1"/>
        <v>16772</v>
      </c>
    </row>
    <row r="44" ht="14.25" customHeight="1">
      <c r="A44" s="7">
        <v>43786.0</v>
      </c>
      <c r="B44" s="4" t="s">
        <v>107</v>
      </c>
      <c r="C44" s="4" t="s">
        <v>114</v>
      </c>
      <c r="D44" s="4" t="s">
        <v>117</v>
      </c>
      <c r="E44" s="4" t="s">
        <v>116</v>
      </c>
      <c r="F44" s="4">
        <v>11.0</v>
      </c>
      <c r="G44" s="4">
        <v>500.0</v>
      </c>
      <c r="H44" s="4">
        <f t="shared" si="1"/>
        <v>5500</v>
      </c>
    </row>
    <row r="45" ht="14.25" customHeight="1">
      <c r="A45" s="7">
        <v>43803.0</v>
      </c>
      <c r="B45" s="4" t="s">
        <v>107</v>
      </c>
      <c r="C45" s="4" t="s">
        <v>114</v>
      </c>
      <c r="D45" s="4" t="s">
        <v>117</v>
      </c>
      <c r="E45" s="4" t="s">
        <v>116</v>
      </c>
      <c r="F45" s="4">
        <v>94.0</v>
      </c>
      <c r="G45" s="4">
        <v>500.0</v>
      </c>
      <c r="H45" s="4">
        <f t="shared" si="1"/>
        <v>47000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J1"/>
  </mergeCell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7.57"/>
    <col customWidth="1" min="3" max="3" width="8.71"/>
    <col customWidth="1" min="4" max="4" width="11.0"/>
    <col customWidth="1" min="5" max="5" width="8.71"/>
    <col customWidth="1" min="6" max="6" width="20.86"/>
    <col customWidth="1" min="7" max="7" width="8.71"/>
    <col customWidth="1" min="8" max="8" width="0.43"/>
    <col customWidth="1" min="9" max="9" width="0.86"/>
    <col customWidth="1" min="10" max="10" width="16.29"/>
    <col customWidth="1" min="11" max="26" width="8.71"/>
  </cols>
  <sheetData>
    <row r="1" ht="14.25" customHeight="1">
      <c r="A1" s="8" t="s">
        <v>130</v>
      </c>
    </row>
    <row r="2" ht="14.25" customHeight="1"/>
    <row r="3" ht="14.25" customHeight="1">
      <c r="A3" s="3" t="s">
        <v>131</v>
      </c>
      <c r="B3" s="3" t="s">
        <v>132</v>
      </c>
      <c r="C3" s="3" t="s">
        <v>99</v>
      </c>
      <c r="D3" s="3" t="s">
        <v>133</v>
      </c>
      <c r="E3" s="3" t="s">
        <v>134</v>
      </c>
      <c r="F3" s="3" t="s">
        <v>135</v>
      </c>
    </row>
    <row r="4" ht="14.25" customHeight="1">
      <c r="A4" s="7">
        <v>43661.0</v>
      </c>
      <c r="B4" s="4" t="s">
        <v>136</v>
      </c>
      <c r="C4" s="4" t="s">
        <v>137</v>
      </c>
      <c r="D4" s="4" t="s">
        <v>138</v>
      </c>
      <c r="E4" s="4">
        <v>2019.0</v>
      </c>
      <c r="F4" s="4">
        <v>1741089.0</v>
      </c>
    </row>
    <row r="5" ht="14.25" customHeight="1">
      <c r="A5" s="7">
        <v>43665.0</v>
      </c>
      <c r="B5" s="4" t="s">
        <v>139</v>
      </c>
      <c r="C5" s="4" t="s">
        <v>108</v>
      </c>
      <c r="D5" s="4" t="s">
        <v>138</v>
      </c>
      <c r="E5" s="4">
        <v>2019.0</v>
      </c>
      <c r="F5" s="4">
        <v>514989.0</v>
      </c>
    </row>
    <row r="6" ht="14.25" customHeight="1">
      <c r="A6" s="7">
        <v>43672.0</v>
      </c>
      <c r="B6" s="4" t="s">
        <v>140</v>
      </c>
      <c r="C6" s="4" t="s">
        <v>108</v>
      </c>
      <c r="D6" s="4" t="s">
        <v>138</v>
      </c>
      <c r="E6" s="4">
        <v>2019.0</v>
      </c>
      <c r="F6" s="4">
        <v>230071.0</v>
      </c>
    </row>
    <row r="7" ht="14.25" customHeight="1">
      <c r="A7" s="7">
        <v>43688.0</v>
      </c>
      <c r="B7" s="4" t="s">
        <v>142</v>
      </c>
      <c r="C7" s="4" t="s">
        <v>143</v>
      </c>
      <c r="D7" s="4" t="s">
        <v>144</v>
      </c>
      <c r="E7" s="4">
        <v>2019.0</v>
      </c>
      <c r="F7" s="4">
        <v>1148912.0</v>
      </c>
    </row>
    <row r="8" ht="14.25" customHeight="1">
      <c r="A8" s="7">
        <v>43692.0</v>
      </c>
      <c r="B8" s="4" t="s">
        <v>145</v>
      </c>
      <c r="C8" s="4" t="s">
        <v>109</v>
      </c>
      <c r="D8" s="4" t="s">
        <v>144</v>
      </c>
      <c r="E8" s="4">
        <v>2019.0</v>
      </c>
      <c r="F8" s="4">
        <v>405991.0</v>
      </c>
    </row>
    <row r="9" ht="14.25" customHeight="1">
      <c r="A9" s="7">
        <v>43699.0</v>
      </c>
      <c r="B9" s="4" t="s">
        <v>146</v>
      </c>
      <c r="C9" s="4" t="s">
        <v>137</v>
      </c>
      <c r="D9" s="4" t="s">
        <v>144</v>
      </c>
      <c r="E9" s="4">
        <v>2019.0</v>
      </c>
      <c r="F9" s="4">
        <v>191708.0</v>
      </c>
    </row>
    <row r="10" ht="14.25" customHeight="1">
      <c r="A10" s="7">
        <v>43701.0</v>
      </c>
      <c r="B10" s="4" t="s">
        <v>147</v>
      </c>
      <c r="C10" s="4" t="s">
        <v>137</v>
      </c>
      <c r="D10" s="4" t="s">
        <v>144</v>
      </c>
      <c r="E10" s="4">
        <v>2019.0</v>
      </c>
      <c r="F10" s="4">
        <v>1757908.0</v>
      </c>
    </row>
    <row r="11" ht="14.25" customHeight="1">
      <c r="A11" s="7">
        <v>43723.0</v>
      </c>
      <c r="B11" s="4" t="s">
        <v>146</v>
      </c>
      <c r="C11" s="4" t="s">
        <v>108</v>
      </c>
      <c r="D11" s="4" t="s">
        <v>148</v>
      </c>
      <c r="E11" s="4">
        <v>2019.0</v>
      </c>
      <c r="F11" s="4">
        <v>1209282.0</v>
      </c>
    </row>
    <row r="12" ht="14.25" customHeight="1">
      <c r="A12" s="7">
        <v>43725.0</v>
      </c>
      <c r="B12" s="4" t="s">
        <v>145</v>
      </c>
      <c r="C12" s="4" t="s">
        <v>109</v>
      </c>
      <c r="D12" s="4" t="s">
        <v>148</v>
      </c>
      <c r="E12" s="4">
        <v>2019.0</v>
      </c>
      <c r="F12" s="4">
        <v>1581662.0</v>
      </c>
    </row>
    <row r="13" ht="14.25" customHeight="1">
      <c r="A13" s="7">
        <v>43754.0</v>
      </c>
      <c r="B13" s="4" t="s">
        <v>145</v>
      </c>
      <c r="C13" s="4" t="s">
        <v>137</v>
      </c>
      <c r="D13" s="4" t="s">
        <v>149</v>
      </c>
      <c r="E13" s="4">
        <v>2019.0</v>
      </c>
      <c r="F13" s="4">
        <v>376043.0</v>
      </c>
    </row>
    <row r="14" ht="14.25" customHeight="1">
      <c r="A14" s="7">
        <v>43763.0</v>
      </c>
      <c r="B14" s="4" t="s">
        <v>140</v>
      </c>
      <c r="C14" s="4" t="s">
        <v>108</v>
      </c>
      <c r="D14" s="4" t="s">
        <v>149</v>
      </c>
      <c r="E14" s="4">
        <v>2019.0</v>
      </c>
      <c r="F14" s="4">
        <v>1978299.0</v>
      </c>
    </row>
    <row r="15" ht="14.25" customHeight="1">
      <c r="A15" s="7">
        <v>43774.0</v>
      </c>
      <c r="B15" s="4" t="s">
        <v>140</v>
      </c>
      <c r="C15" s="4" t="s">
        <v>137</v>
      </c>
      <c r="D15" s="4" t="s">
        <v>150</v>
      </c>
      <c r="E15" s="4">
        <v>2019.0</v>
      </c>
      <c r="F15" s="4">
        <v>914785.0</v>
      </c>
    </row>
    <row r="16" ht="14.25" customHeight="1">
      <c r="A16" s="7">
        <v>43788.0</v>
      </c>
      <c r="B16" s="4" t="s">
        <v>140</v>
      </c>
      <c r="C16" s="4" t="s">
        <v>108</v>
      </c>
      <c r="D16" s="4" t="s">
        <v>150</v>
      </c>
      <c r="E16" s="4">
        <v>2019.0</v>
      </c>
      <c r="F16" s="4">
        <v>1711222.0</v>
      </c>
    </row>
    <row r="17" ht="14.25" customHeight="1">
      <c r="A17" s="7">
        <v>43796.0</v>
      </c>
      <c r="B17" s="4" t="s">
        <v>140</v>
      </c>
      <c r="C17" s="4" t="s">
        <v>109</v>
      </c>
      <c r="D17" s="4" t="s">
        <v>150</v>
      </c>
      <c r="E17" s="4">
        <v>2019.0</v>
      </c>
      <c r="F17" s="4">
        <v>1257231.0</v>
      </c>
    </row>
    <row r="18" ht="14.25" customHeight="1">
      <c r="A18" s="7">
        <v>43794.0</v>
      </c>
      <c r="B18" s="4" t="s">
        <v>140</v>
      </c>
      <c r="C18" s="4" t="s">
        <v>137</v>
      </c>
      <c r="D18" s="4" t="s">
        <v>150</v>
      </c>
      <c r="E18" s="4">
        <v>2019.0</v>
      </c>
      <c r="F18" s="4">
        <v>407874.0</v>
      </c>
    </row>
    <row r="19" ht="14.25" customHeight="1">
      <c r="A19" s="7">
        <v>43798.0</v>
      </c>
      <c r="B19" s="4" t="s">
        <v>140</v>
      </c>
      <c r="C19" s="4" t="s">
        <v>143</v>
      </c>
      <c r="D19" s="4" t="s">
        <v>150</v>
      </c>
      <c r="E19" s="4">
        <v>2019.0</v>
      </c>
      <c r="F19" s="4">
        <v>589765.0</v>
      </c>
    </row>
    <row r="20" ht="14.25" customHeight="1">
      <c r="A20" s="7">
        <v>43824.0</v>
      </c>
      <c r="B20" s="4" t="s">
        <v>145</v>
      </c>
      <c r="C20" s="4" t="s">
        <v>143</v>
      </c>
      <c r="D20" s="4" t="s">
        <v>151</v>
      </c>
      <c r="E20" s="4">
        <v>2019.0</v>
      </c>
      <c r="F20" s="4">
        <v>485286.0</v>
      </c>
    </row>
    <row r="21" ht="14.25" customHeight="1">
      <c r="A21" s="7">
        <v>43826.0</v>
      </c>
      <c r="B21" s="4" t="s">
        <v>145</v>
      </c>
      <c r="C21" s="4" t="s">
        <v>143</v>
      </c>
      <c r="D21" s="4" t="s">
        <v>151</v>
      </c>
      <c r="E21" s="4">
        <v>2019.0</v>
      </c>
      <c r="F21" s="4">
        <v>467422.0</v>
      </c>
    </row>
    <row r="22" ht="14.25" customHeight="1">
      <c r="A22" s="7">
        <v>43829.0</v>
      </c>
      <c r="B22" s="4" t="s">
        <v>145</v>
      </c>
      <c r="C22" s="4" t="s">
        <v>108</v>
      </c>
      <c r="D22" s="4" t="s">
        <v>151</v>
      </c>
      <c r="E22" s="4">
        <v>2019.0</v>
      </c>
      <c r="F22" s="4">
        <v>1838220.0</v>
      </c>
    </row>
    <row r="23" ht="14.25" customHeight="1">
      <c r="A23" s="7">
        <v>43845.0</v>
      </c>
      <c r="B23" s="4" t="s">
        <v>146</v>
      </c>
      <c r="C23" s="4" t="s">
        <v>137</v>
      </c>
      <c r="D23" s="4" t="s">
        <v>152</v>
      </c>
      <c r="E23" s="4">
        <v>2019.0</v>
      </c>
      <c r="F23" s="4">
        <v>1958181.0</v>
      </c>
    </row>
    <row r="24" ht="14.25" customHeight="1">
      <c r="A24" s="7">
        <v>43855.0</v>
      </c>
      <c r="B24" s="4" t="s">
        <v>145</v>
      </c>
      <c r="C24" s="4" t="s">
        <v>143</v>
      </c>
      <c r="D24" s="4" t="s">
        <v>152</v>
      </c>
      <c r="E24" s="4">
        <v>2019.0</v>
      </c>
      <c r="F24" s="4">
        <v>1370705.0</v>
      </c>
    </row>
    <row r="25" ht="14.25" customHeight="1">
      <c r="A25" s="7">
        <v>43859.0</v>
      </c>
      <c r="B25" s="4" t="s">
        <v>145</v>
      </c>
      <c r="C25" s="4" t="s">
        <v>137</v>
      </c>
      <c r="D25" s="4" t="s">
        <v>152</v>
      </c>
      <c r="E25" s="4">
        <v>2019.0</v>
      </c>
      <c r="F25" s="4">
        <v>1683109.0</v>
      </c>
    </row>
    <row r="26" ht="14.25" customHeight="1">
      <c r="A26" s="7">
        <v>43831.0</v>
      </c>
      <c r="B26" s="4" t="s">
        <v>145</v>
      </c>
      <c r="C26" s="4" t="s">
        <v>108</v>
      </c>
      <c r="D26" s="4" t="s">
        <v>152</v>
      </c>
      <c r="E26" s="4">
        <v>2019.0</v>
      </c>
      <c r="F26" s="4">
        <v>564927.0</v>
      </c>
    </row>
    <row r="27" ht="14.25" customHeight="1">
      <c r="A27" s="7">
        <v>43832.0</v>
      </c>
      <c r="B27" s="4" t="s">
        <v>145</v>
      </c>
      <c r="C27" s="4" t="s">
        <v>137</v>
      </c>
      <c r="D27" s="4" t="s">
        <v>152</v>
      </c>
      <c r="E27" s="4">
        <v>2019.0</v>
      </c>
      <c r="F27" s="4">
        <v>239424.0</v>
      </c>
    </row>
    <row r="28" ht="14.25" customHeight="1">
      <c r="A28" s="7">
        <v>43832.0</v>
      </c>
      <c r="B28" s="4" t="s">
        <v>145</v>
      </c>
      <c r="C28" s="4" t="s">
        <v>108</v>
      </c>
      <c r="D28" s="4" t="s">
        <v>152</v>
      </c>
      <c r="E28" s="4">
        <v>2019.0</v>
      </c>
      <c r="F28" s="4">
        <v>774500.0</v>
      </c>
    </row>
    <row r="29" ht="14.25" customHeight="1">
      <c r="A29" s="7">
        <v>43832.0</v>
      </c>
      <c r="B29" s="4" t="s">
        <v>145</v>
      </c>
      <c r="C29" s="4" t="s">
        <v>137</v>
      </c>
      <c r="D29" s="4" t="s">
        <v>152</v>
      </c>
      <c r="E29" s="4">
        <v>2019.0</v>
      </c>
      <c r="F29" s="4">
        <v>1096869.0</v>
      </c>
    </row>
    <row r="30" ht="14.25" customHeight="1">
      <c r="A30" s="7">
        <v>43833.0</v>
      </c>
      <c r="B30" s="4" t="s">
        <v>145</v>
      </c>
      <c r="C30" s="4" t="s">
        <v>137</v>
      </c>
      <c r="D30" s="4" t="s">
        <v>152</v>
      </c>
      <c r="E30" s="4">
        <v>2019.0</v>
      </c>
      <c r="F30" s="4">
        <v>1862557.0</v>
      </c>
    </row>
    <row r="31" ht="14.25" customHeight="1">
      <c r="A31" s="7">
        <v>43839.0</v>
      </c>
      <c r="B31" s="4" t="s">
        <v>145</v>
      </c>
      <c r="C31" s="4" t="s">
        <v>143</v>
      </c>
      <c r="D31" s="4" t="s">
        <v>152</v>
      </c>
      <c r="E31" s="4">
        <v>2019.0</v>
      </c>
      <c r="F31" s="4">
        <v>1437017.0</v>
      </c>
    </row>
    <row r="32" ht="14.25" customHeight="1">
      <c r="A32" s="7">
        <v>43839.0</v>
      </c>
      <c r="B32" s="4" t="s">
        <v>145</v>
      </c>
      <c r="C32" s="4" t="s">
        <v>137</v>
      </c>
      <c r="D32" s="4" t="s">
        <v>152</v>
      </c>
      <c r="E32" s="4">
        <v>2019.0</v>
      </c>
      <c r="F32" s="4">
        <v>1848717.0</v>
      </c>
    </row>
    <row r="33" ht="14.25" customHeight="1">
      <c r="A33" s="7">
        <v>43841.0</v>
      </c>
      <c r="B33" s="4" t="s">
        <v>146</v>
      </c>
      <c r="C33" s="4" t="s">
        <v>108</v>
      </c>
      <c r="D33" s="4" t="s">
        <v>152</v>
      </c>
      <c r="E33" s="4">
        <v>2019.0</v>
      </c>
      <c r="F33" s="4">
        <v>1933018.0</v>
      </c>
    </row>
    <row r="34" ht="14.25" customHeight="1">
      <c r="A34" s="7">
        <v>43841.0</v>
      </c>
      <c r="B34" s="4" t="s">
        <v>146</v>
      </c>
      <c r="C34" s="4" t="s">
        <v>137</v>
      </c>
      <c r="D34" s="4" t="s">
        <v>152</v>
      </c>
      <c r="E34" s="4">
        <v>2019.0</v>
      </c>
      <c r="F34" s="4">
        <v>1987908.0</v>
      </c>
    </row>
    <row r="35" ht="14.25" customHeight="1">
      <c r="A35" s="7">
        <v>43842.0</v>
      </c>
      <c r="B35" s="4" t="s">
        <v>146</v>
      </c>
      <c r="C35" s="4" t="s">
        <v>109</v>
      </c>
      <c r="D35" s="4" t="s">
        <v>152</v>
      </c>
      <c r="E35" s="4">
        <v>2019.0</v>
      </c>
      <c r="F35" s="4">
        <v>1264058.0</v>
      </c>
    </row>
    <row r="36" ht="14.25" customHeight="1">
      <c r="A36" s="7">
        <v>43842.0</v>
      </c>
      <c r="B36" s="4" t="s">
        <v>146</v>
      </c>
      <c r="C36" s="4" t="s">
        <v>109</v>
      </c>
      <c r="D36" s="4" t="s">
        <v>152</v>
      </c>
      <c r="E36" s="4">
        <v>2019.0</v>
      </c>
      <c r="F36" s="4">
        <v>1750150.0</v>
      </c>
    </row>
    <row r="37" ht="14.25" customHeight="1">
      <c r="A37" s="7">
        <v>43843.0</v>
      </c>
      <c r="B37" s="4" t="s">
        <v>146</v>
      </c>
      <c r="C37" s="4" t="s">
        <v>137</v>
      </c>
      <c r="D37" s="4" t="s">
        <v>152</v>
      </c>
      <c r="E37" s="4">
        <v>2019.0</v>
      </c>
      <c r="F37" s="4">
        <v>1495289.0</v>
      </c>
    </row>
    <row r="38" ht="14.25" customHeight="1">
      <c r="A38" s="7">
        <v>43843.0</v>
      </c>
      <c r="B38" s="4" t="s">
        <v>146</v>
      </c>
      <c r="C38" s="4" t="s">
        <v>108</v>
      </c>
      <c r="D38" s="4" t="s">
        <v>152</v>
      </c>
      <c r="E38" s="4">
        <v>2019.0</v>
      </c>
      <c r="F38" s="4">
        <v>391699.0</v>
      </c>
    </row>
    <row r="39" ht="14.25" customHeight="1">
      <c r="A39" s="7">
        <v>43846.0</v>
      </c>
      <c r="B39" s="4" t="s">
        <v>146</v>
      </c>
      <c r="C39" s="4" t="s">
        <v>143</v>
      </c>
      <c r="D39" s="4" t="s">
        <v>152</v>
      </c>
      <c r="E39" s="4">
        <v>2019.0</v>
      </c>
      <c r="F39" s="4">
        <v>877778.0</v>
      </c>
    </row>
    <row r="40" ht="14.25" customHeight="1">
      <c r="A40" s="7">
        <v>43846.0</v>
      </c>
      <c r="B40" s="4" t="s">
        <v>146</v>
      </c>
      <c r="C40" s="4" t="s">
        <v>143</v>
      </c>
      <c r="D40" s="4" t="s">
        <v>152</v>
      </c>
      <c r="E40" s="4">
        <v>2019.0</v>
      </c>
      <c r="F40" s="4">
        <v>1366272.0</v>
      </c>
    </row>
    <row r="41" ht="14.25" customHeight="1">
      <c r="A41" s="7">
        <v>43846.0</v>
      </c>
      <c r="B41" s="4" t="s">
        <v>146</v>
      </c>
      <c r="C41" s="4" t="s">
        <v>143</v>
      </c>
      <c r="D41" s="4" t="s">
        <v>152</v>
      </c>
      <c r="E41" s="4">
        <v>2019.0</v>
      </c>
      <c r="F41" s="4">
        <v>1766994.0</v>
      </c>
    </row>
    <row r="42" ht="14.25" customHeight="1">
      <c r="A42" s="7">
        <v>43846.0</v>
      </c>
      <c r="B42" s="4" t="s">
        <v>142</v>
      </c>
      <c r="C42" s="4" t="s">
        <v>137</v>
      </c>
      <c r="D42" s="4" t="s">
        <v>152</v>
      </c>
      <c r="E42" s="4">
        <v>2019.0</v>
      </c>
      <c r="F42" s="4">
        <v>1718743.0</v>
      </c>
    </row>
    <row r="43" ht="14.25" customHeight="1">
      <c r="A43" s="7">
        <v>43847.0</v>
      </c>
      <c r="B43" s="4" t="s">
        <v>142</v>
      </c>
      <c r="C43" s="4" t="s">
        <v>108</v>
      </c>
      <c r="D43" s="4" t="s">
        <v>152</v>
      </c>
      <c r="E43" s="4">
        <v>2019.0</v>
      </c>
      <c r="F43" s="4">
        <v>538621.0</v>
      </c>
    </row>
    <row r="44" ht="14.25" customHeight="1">
      <c r="A44" s="7">
        <v>43853.0</v>
      </c>
      <c r="B44" s="4" t="s">
        <v>142</v>
      </c>
      <c r="C44" s="4" t="s">
        <v>109</v>
      </c>
      <c r="D44" s="4" t="s">
        <v>152</v>
      </c>
      <c r="E44" s="4">
        <v>2019.0</v>
      </c>
      <c r="F44" s="4">
        <v>184900.0</v>
      </c>
    </row>
    <row r="45" ht="14.25" customHeight="1">
      <c r="A45" s="7">
        <v>43854.0</v>
      </c>
      <c r="B45" s="4" t="s">
        <v>142</v>
      </c>
      <c r="C45" s="4" t="s">
        <v>137</v>
      </c>
      <c r="D45" s="4" t="s">
        <v>152</v>
      </c>
      <c r="E45" s="4">
        <v>2019.0</v>
      </c>
      <c r="F45" s="4">
        <v>1598219.0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6.43"/>
    <col customWidth="1" min="3" max="3" width="67.57"/>
    <col customWidth="1" min="4" max="4" width="8.71"/>
    <col customWidth="1" min="5" max="5" width="2.43"/>
    <col customWidth="1" min="6" max="6" width="0.43"/>
    <col customWidth="1" min="7" max="26" width="8.71"/>
  </cols>
  <sheetData>
    <row r="1" ht="14.25" customHeight="1">
      <c r="A1" s="1" t="s">
        <v>153</v>
      </c>
    </row>
    <row r="2" ht="14.25" customHeight="1"/>
    <row r="3" ht="14.25" customHeight="1">
      <c r="A3" s="3" t="s">
        <v>154</v>
      </c>
      <c r="B3" s="3" t="s">
        <v>1</v>
      </c>
      <c r="C3" s="3" t="s">
        <v>155</v>
      </c>
    </row>
    <row r="4" ht="14.25" customHeight="1">
      <c r="A4" s="4" t="s">
        <v>156</v>
      </c>
      <c r="B4" s="4" t="s">
        <v>157</v>
      </c>
      <c r="C4" s="4" t="s">
        <v>158</v>
      </c>
    </row>
    <row r="5" ht="14.25" customHeight="1">
      <c r="A5" s="4" t="s">
        <v>156</v>
      </c>
      <c r="B5" s="4" t="s">
        <v>159</v>
      </c>
      <c r="C5" s="4" t="s">
        <v>160</v>
      </c>
    </row>
    <row r="6" ht="14.25" customHeight="1">
      <c r="A6" s="4" t="s">
        <v>156</v>
      </c>
      <c r="B6" s="4" t="s">
        <v>161</v>
      </c>
      <c r="C6" s="4" t="s">
        <v>162</v>
      </c>
    </row>
    <row r="7" ht="14.25" customHeight="1">
      <c r="A7" s="4" t="s">
        <v>156</v>
      </c>
      <c r="B7" s="4" t="s">
        <v>159</v>
      </c>
      <c r="C7" s="4" t="s">
        <v>160</v>
      </c>
    </row>
    <row r="8" ht="14.25" customHeight="1">
      <c r="A8" s="4" t="s">
        <v>163</v>
      </c>
      <c r="B8" s="4" t="s">
        <v>159</v>
      </c>
      <c r="C8" s="4" t="s">
        <v>165</v>
      </c>
    </row>
    <row r="9" ht="14.25" customHeight="1">
      <c r="A9" s="4" t="s">
        <v>163</v>
      </c>
      <c r="B9" s="4" t="s">
        <v>159</v>
      </c>
      <c r="C9" s="4" t="s">
        <v>165</v>
      </c>
    </row>
    <row r="10" ht="14.25" customHeight="1">
      <c r="A10" s="4" t="s">
        <v>163</v>
      </c>
      <c r="B10" s="4" t="s">
        <v>159</v>
      </c>
      <c r="C10" s="4" t="s">
        <v>165</v>
      </c>
    </row>
    <row r="11" ht="14.25" customHeight="1">
      <c r="A11" s="4" t="s">
        <v>163</v>
      </c>
      <c r="B11" s="4" t="s">
        <v>159</v>
      </c>
      <c r="C11" s="4" t="s">
        <v>165</v>
      </c>
    </row>
    <row r="12" ht="14.25" customHeight="1">
      <c r="A12" s="4" t="s">
        <v>156</v>
      </c>
      <c r="B12" s="4" t="s">
        <v>159</v>
      </c>
      <c r="C12" s="4" t="s">
        <v>168</v>
      </c>
    </row>
    <row r="13" ht="14.25" customHeight="1">
      <c r="A13" s="4" t="s">
        <v>163</v>
      </c>
      <c r="B13" s="4" t="s">
        <v>159</v>
      </c>
      <c r="C13" s="4" t="s">
        <v>171</v>
      </c>
    </row>
    <row r="14" ht="14.25" customHeight="1">
      <c r="A14" s="4" t="s">
        <v>156</v>
      </c>
      <c r="B14" s="4" t="s">
        <v>161</v>
      </c>
      <c r="C14" s="4" t="s">
        <v>160</v>
      </c>
    </row>
    <row r="15" ht="14.25" customHeight="1">
      <c r="A15" s="4" t="s">
        <v>156</v>
      </c>
      <c r="B15" s="4" t="s">
        <v>159</v>
      </c>
      <c r="C15" s="4" t="s">
        <v>165</v>
      </c>
    </row>
    <row r="16" ht="14.25" customHeight="1">
      <c r="A16" s="4" t="s">
        <v>156</v>
      </c>
      <c r="B16" s="4" t="s">
        <v>159</v>
      </c>
      <c r="C16" s="4" t="s">
        <v>165</v>
      </c>
    </row>
    <row r="17" ht="14.25" customHeight="1">
      <c r="A17" s="4" t="s">
        <v>163</v>
      </c>
      <c r="B17" s="4" t="s">
        <v>12</v>
      </c>
      <c r="C17" s="4" t="s">
        <v>166</v>
      </c>
    </row>
    <row r="18" ht="14.25" customHeight="1">
      <c r="A18" s="4" t="s">
        <v>156</v>
      </c>
      <c r="B18" s="4" t="s">
        <v>159</v>
      </c>
      <c r="C18" s="4" t="s">
        <v>160</v>
      </c>
    </row>
    <row r="19" ht="14.25" customHeight="1">
      <c r="A19" s="4" t="s">
        <v>156</v>
      </c>
      <c r="B19" s="4" t="s">
        <v>178</v>
      </c>
      <c r="C19" s="4" t="s">
        <v>168</v>
      </c>
    </row>
    <row r="20" ht="14.25" customHeight="1">
      <c r="A20" s="4" t="s">
        <v>156</v>
      </c>
      <c r="B20" s="4" t="s">
        <v>159</v>
      </c>
      <c r="C20" s="4" t="s">
        <v>160</v>
      </c>
    </row>
    <row r="21" ht="14.25" customHeight="1">
      <c r="A21" s="4" t="s">
        <v>156</v>
      </c>
      <c r="B21" s="4" t="s">
        <v>159</v>
      </c>
      <c r="C21" s="4" t="s">
        <v>179</v>
      </c>
    </row>
    <row r="22" ht="14.25" customHeight="1">
      <c r="A22" s="4" t="s">
        <v>156</v>
      </c>
      <c r="B22" s="4" t="s">
        <v>159</v>
      </c>
      <c r="C22" s="4" t="s">
        <v>171</v>
      </c>
    </row>
    <row r="23" ht="14.25" customHeight="1">
      <c r="A23" s="4" t="s">
        <v>156</v>
      </c>
      <c r="B23" s="4" t="s">
        <v>159</v>
      </c>
      <c r="C23" s="4" t="s">
        <v>160</v>
      </c>
    </row>
    <row r="24" ht="14.25" customHeight="1">
      <c r="A24" s="4" t="s">
        <v>163</v>
      </c>
      <c r="B24" s="4" t="s">
        <v>159</v>
      </c>
      <c r="C24" s="4" t="s">
        <v>177</v>
      </c>
    </row>
    <row r="25" ht="14.25" customHeight="1">
      <c r="A25" s="4" t="s">
        <v>163</v>
      </c>
      <c r="B25" s="4" t="s">
        <v>159</v>
      </c>
      <c r="C25" s="4" t="s">
        <v>177</v>
      </c>
    </row>
    <row r="26" ht="14.25" customHeight="1">
      <c r="A26" s="4" t="s">
        <v>156</v>
      </c>
      <c r="B26" s="4" t="s">
        <v>159</v>
      </c>
      <c r="C26" s="4" t="s">
        <v>184</v>
      </c>
    </row>
    <row r="27" ht="14.25" customHeight="1">
      <c r="A27" s="4" t="s">
        <v>156</v>
      </c>
      <c r="B27" s="4" t="s">
        <v>159</v>
      </c>
      <c r="C27" s="4" t="s">
        <v>184</v>
      </c>
    </row>
    <row r="28" ht="14.25" customHeight="1">
      <c r="A28" s="4" t="s">
        <v>156</v>
      </c>
      <c r="B28" s="4" t="s">
        <v>182</v>
      </c>
      <c r="C28" s="4" t="s">
        <v>183</v>
      </c>
    </row>
    <row r="29" ht="14.25" customHeight="1">
      <c r="A29" s="4" t="s">
        <v>156</v>
      </c>
      <c r="B29" s="4" t="s">
        <v>186</v>
      </c>
      <c r="C29" s="4" t="s">
        <v>171</v>
      </c>
    </row>
    <row r="30" ht="14.25" customHeight="1">
      <c r="A30" s="4" t="s">
        <v>156</v>
      </c>
      <c r="B30" s="4" t="s">
        <v>159</v>
      </c>
      <c r="C30" s="4" t="s">
        <v>168</v>
      </c>
    </row>
    <row r="31" ht="14.25" customHeight="1">
      <c r="A31" s="4" t="s">
        <v>156</v>
      </c>
      <c r="B31" s="4" t="s">
        <v>159</v>
      </c>
      <c r="C31" s="4" t="s">
        <v>165</v>
      </c>
    </row>
    <row r="32" ht="14.25" customHeight="1">
      <c r="A32" s="4" t="s">
        <v>156</v>
      </c>
      <c r="B32" s="4" t="s">
        <v>159</v>
      </c>
      <c r="C32" s="4" t="s">
        <v>177</v>
      </c>
    </row>
    <row r="33" ht="14.25" customHeight="1">
      <c r="A33" s="4" t="s">
        <v>156</v>
      </c>
      <c r="B33" s="4" t="s">
        <v>159</v>
      </c>
      <c r="C33" s="4" t="s">
        <v>160</v>
      </c>
    </row>
    <row r="34" ht="14.25" customHeight="1">
      <c r="A34" s="4" t="s">
        <v>156</v>
      </c>
      <c r="B34" s="4" t="s">
        <v>188</v>
      </c>
      <c r="C34" s="4" t="s">
        <v>160</v>
      </c>
    </row>
    <row r="35" ht="14.25" customHeight="1">
      <c r="A35" s="4" t="s">
        <v>156</v>
      </c>
      <c r="B35" s="4" t="s">
        <v>159</v>
      </c>
      <c r="C35" s="4" t="s">
        <v>160</v>
      </c>
    </row>
    <row r="36" ht="14.25" customHeight="1">
      <c r="A36" s="4" t="s">
        <v>163</v>
      </c>
      <c r="B36" s="4" t="s">
        <v>169</v>
      </c>
      <c r="C36" s="4" t="s">
        <v>170</v>
      </c>
    </row>
    <row r="37" ht="14.25" customHeight="1">
      <c r="A37" s="4" t="s">
        <v>163</v>
      </c>
      <c r="B37" s="4" t="s">
        <v>169</v>
      </c>
      <c r="C37" s="4" t="s">
        <v>170</v>
      </c>
    </row>
    <row r="38" ht="14.25" customHeight="1">
      <c r="A38" s="4" t="s">
        <v>163</v>
      </c>
      <c r="B38" s="4" t="s">
        <v>159</v>
      </c>
      <c r="C38" s="4" t="s">
        <v>165</v>
      </c>
    </row>
    <row r="39" ht="14.25" customHeight="1">
      <c r="A39" s="4" t="s">
        <v>163</v>
      </c>
      <c r="B39" s="4" t="s">
        <v>159</v>
      </c>
      <c r="C39" s="4" t="s">
        <v>171</v>
      </c>
    </row>
    <row r="40" ht="14.25" customHeight="1">
      <c r="A40" s="4" t="s">
        <v>163</v>
      </c>
      <c r="B40" s="4" t="s">
        <v>159</v>
      </c>
      <c r="C40" s="4" t="s">
        <v>177</v>
      </c>
    </row>
    <row r="41" ht="14.25" customHeight="1">
      <c r="A41" s="4" t="s">
        <v>163</v>
      </c>
      <c r="B41" s="4" t="s">
        <v>159</v>
      </c>
      <c r="C41" s="4" t="s">
        <v>176</v>
      </c>
    </row>
    <row r="42" ht="14.25" customHeight="1">
      <c r="A42" s="4" t="s">
        <v>163</v>
      </c>
      <c r="B42" s="4" t="s">
        <v>159</v>
      </c>
      <c r="C42" s="4" t="s">
        <v>176</v>
      </c>
    </row>
    <row r="43" ht="14.25" customHeight="1">
      <c r="A43" s="4" t="s">
        <v>163</v>
      </c>
      <c r="B43" s="4" t="s">
        <v>159</v>
      </c>
      <c r="C43" s="4" t="s">
        <v>177</v>
      </c>
    </row>
    <row r="44" ht="14.25" customHeight="1">
      <c r="A44" s="4" t="s">
        <v>163</v>
      </c>
      <c r="B44" s="4" t="s">
        <v>159</v>
      </c>
      <c r="C44" s="4" t="s">
        <v>168</v>
      </c>
    </row>
    <row r="45" ht="14.25" customHeight="1">
      <c r="A45" s="4" t="s">
        <v>163</v>
      </c>
      <c r="B45" s="4" t="s">
        <v>159</v>
      </c>
      <c r="C45" s="4" t="s">
        <v>168</v>
      </c>
    </row>
    <row r="46" ht="14.25" customHeight="1">
      <c r="A46" s="4" t="s">
        <v>163</v>
      </c>
      <c r="B46" s="4" t="s">
        <v>159</v>
      </c>
      <c r="C46" s="4" t="s">
        <v>165</v>
      </c>
    </row>
    <row r="47" ht="14.25" customHeight="1">
      <c r="A47" s="4" t="s">
        <v>163</v>
      </c>
      <c r="B47" s="4" t="s">
        <v>159</v>
      </c>
      <c r="C47" s="4" t="s">
        <v>165</v>
      </c>
    </row>
    <row r="48" ht="14.25" customHeight="1">
      <c r="A48" s="4" t="s">
        <v>163</v>
      </c>
      <c r="B48" s="4" t="s">
        <v>159</v>
      </c>
      <c r="C48" s="4" t="s">
        <v>165</v>
      </c>
    </row>
    <row r="49" ht="14.25" customHeight="1">
      <c r="A49" s="4" t="s">
        <v>163</v>
      </c>
      <c r="B49" s="4" t="s">
        <v>159</v>
      </c>
      <c r="C49" s="4" t="s">
        <v>176</v>
      </c>
    </row>
    <row r="50" ht="14.25" customHeight="1">
      <c r="A50" s="4" t="s">
        <v>163</v>
      </c>
      <c r="B50" s="4" t="s">
        <v>159</v>
      </c>
      <c r="C50" s="4" t="s">
        <v>165</v>
      </c>
    </row>
    <row r="51" ht="14.25" customHeight="1">
      <c r="A51" s="4" t="s">
        <v>163</v>
      </c>
      <c r="B51" s="4" t="s">
        <v>159</v>
      </c>
      <c r="C51" s="4" t="s">
        <v>165</v>
      </c>
    </row>
    <row r="52" ht="14.25" customHeight="1">
      <c r="A52" s="4" t="s">
        <v>163</v>
      </c>
      <c r="B52" s="4" t="s">
        <v>159</v>
      </c>
      <c r="C52" s="4" t="s">
        <v>165</v>
      </c>
    </row>
    <row r="53" ht="14.25" customHeight="1">
      <c r="A53" s="4" t="s">
        <v>163</v>
      </c>
      <c r="B53" s="4" t="s">
        <v>159</v>
      </c>
      <c r="C53" s="4" t="s">
        <v>160</v>
      </c>
    </row>
    <row r="54" ht="14.25" customHeight="1">
      <c r="A54" s="4" t="s">
        <v>163</v>
      </c>
      <c r="B54" s="4" t="s">
        <v>186</v>
      </c>
      <c r="C54" s="4" t="s">
        <v>165</v>
      </c>
    </row>
    <row r="55" ht="14.25" customHeight="1">
      <c r="A55" s="4" t="s">
        <v>163</v>
      </c>
      <c r="B55" s="4" t="s">
        <v>186</v>
      </c>
      <c r="C55" s="4" t="s">
        <v>165</v>
      </c>
    </row>
    <row r="56" ht="14.25" customHeight="1">
      <c r="A56" s="4" t="s">
        <v>163</v>
      </c>
      <c r="B56" s="4" t="s">
        <v>159</v>
      </c>
      <c r="C56" s="4" t="s">
        <v>165</v>
      </c>
    </row>
    <row r="57" ht="14.25" customHeight="1">
      <c r="A57" s="4" t="s">
        <v>163</v>
      </c>
      <c r="B57" s="4" t="s">
        <v>12</v>
      </c>
      <c r="C57" s="4" t="s">
        <v>160</v>
      </c>
    </row>
    <row r="58" ht="14.25" customHeight="1">
      <c r="A58" s="4" t="s">
        <v>163</v>
      </c>
      <c r="B58" s="4" t="s">
        <v>12</v>
      </c>
      <c r="C58" s="4" t="s">
        <v>160</v>
      </c>
    </row>
    <row r="59" ht="14.25" customHeight="1">
      <c r="A59" s="4" t="s">
        <v>163</v>
      </c>
      <c r="B59" s="4" t="s">
        <v>159</v>
      </c>
      <c r="C59" s="4" t="s">
        <v>165</v>
      </c>
    </row>
    <row r="60" ht="14.25" customHeight="1">
      <c r="A60" s="4" t="s">
        <v>163</v>
      </c>
      <c r="B60" s="4" t="s">
        <v>159</v>
      </c>
      <c r="C60" s="4" t="s">
        <v>175</v>
      </c>
    </row>
    <row r="61" ht="14.25" customHeight="1">
      <c r="A61" s="4" t="s">
        <v>163</v>
      </c>
      <c r="B61" s="4" t="s">
        <v>159</v>
      </c>
      <c r="C61" s="4" t="s">
        <v>165</v>
      </c>
    </row>
    <row r="62" ht="14.25" customHeight="1">
      <c r="A62" s="4" t="s">
        <v>156</v>
      </c>
      <c r="B62" s="4" t="s">
        <v>159</v>
      </c>
      <c r="C62" s="4" t="s">
        <v>176</v>
      </c>
    </row>
    <row r="63" ht="14.25" customHeight="1">
      <c r="A63" s="4" t="s">
        <v>156</v>
      </c>
      <c r="B63" s="4" t="s">
        <v>12</v>
      </c>
      <c r="C63" s="4" t="s">
        <v>160</v>
      </c>
    </row>
    <row r="64" ht="14.25" customHeight="1">
      <c r="A64" s="4" t="s">
        <v>156</v>
      </c>
      <c r="B64" s="4" t="s">
        <v>191</v>
      </c>
      <c r="C64" s="4"/>
    </row>
    <row r="65" ht="14.25" customHeight="1">
      <c r="A65" s="4" t="s">
        <v>156</v>
      </c>
      <c r="B65" s="4" t="s">
        <v>191</v>
      </c>
      <c r="C65" s="4"/>
    </row>
    <row r="66" ht="14.25" customHeight="1">
      <c r="A66" s="4" t="s">
        <v>156</v>
      </c>
      <c r="B66" s="4" t="s">
        <v>191</v>
      </c>
      <c r="C66" s="4"/>
    </row>
    <row r="67" ht="14.25" customHeight="1">
      <c r="A67" s="4" t="s">
        <v>156</v>
      </c>
      <c r="B67" s="4" t="s">
        <v>191</v>
      </c>
      <c r="C67" s="4"/>
    </row>
    <row r="68" ht="14.25" customHeight="1">
      <c r="A68" s="4" t="s">
        <v>156</v>
      </c>
      <c r="B68" s="4" t="s">
        <v>204</v>
      </c>
      <c r="C68" s="4" t="s">
        <v>205</v>
      </c>
    </row>
    <row r="69" ht="14.25" customHeight="1">
      <c r="A69" s="4" t="s">
        <v>163</v>
      </c>
      <c r="B69" s="4" t="s">
        <v>173</v>
      </c>
      <c r="C69" s="4" t="s">
        <v>171</v>
      </c>
    </row>
    <row r="70" ht="14.25" customHeight="1">
      <c r="A70" s="4" t="s">
        <v>156</v>
      </c>
      <c r="B70" s="4" t="s">
        <v>159</v>
      </c>
      <c r="C70" s="4" t="s">
        <v>160</v>
      </c>
    </row>
    <row r="71" ht="14.25" customHeight="1">
      <c r="A71" s="4" t="s">
        <v>156</v>
      </c>
      <c r="B71" s="4" t="s">
        <v>159</v>
      </c>
      <c r="C71" s="4" t="s">
        <v>199</v>
      </c>
    </row>
    <row r="72" ht="14.25" customHeight="1">
      <c r="A72" s="4" t="s">
        <v>156</v>
      </c>
      <c r="B72" s="4" t="s">
        <v>191</v>
      </c>
      <c r="C72" s="4"/>
    </row>
    <row r="73" ht="14.25" customHeight="1">
      <c r="A73" s="4" t="s">
        <v>156</v>
      </c>
      <c r="B73" s="4" t="s">
        <v>178</v>
      </c>
      <c r="C73" s="4" t="s">
        <v>183</v>
      </c>
    </row>
    <row r="74" ht="14.25" customHeight="1">
      <c r="A74" s="4" t="s">
        <v>156</v>
      </c>
      <c r="B74" s="4" t="s">
        <v>178</v>
      </c>
      <c r="C74" s="4" t="s">
        <v>183</v>
      </c>
    </row>
    <row r="75" ht="14.25" customHeight="1">
      <c r="A75" s="4" t="s">
        <v>156</v>
      </c>
      <c r="B75" s="4" t="s">
        <v>40</v>
      </c>
      <c r="C75" s="4" t="s">
        <v>160</v>
      </c>
    </row>
    <row r="76" ht="14.25" customHeight="1">
      <c r="A76" s="4" t="s">
        <v>156</v>
      </c>
      <c r="B76" s="4" t="s">
        <v>159</v>
      </c>
      <c r="C76" s="4" t="s">
        <v>160</v>
      </c>
    </row>
    <row r="77" ht="14.25" customHeight="1">
      <c r="A77" s="4" t="s">
        <v>156</v>
      </c>
      <c r="B77" s="4" t="s">
        <v>159</v>
      </c>
      <c r="C77" s="4" t="s">
        <v>198</v>
      </c>
    </row>
    <row r="78" ht="14.25" customHeight="1">
      <c r="A78" s="4" t="s">
        <v>156</v>
      </c>
      <c r="B78" s="4" t="s">
        <v>159</v>
      </c>
      <c r="C78" s="4"/>
    </row>
    <row r="79" ht="14.25" customHeight="1">
      <c r="A79" s="4" t="s">
        <v>156</v>
      </c>
      <c r="B79" s="4" t="s">
        <v>159</v>
      </c>
      <c r="C79" s="4" t="s">
        <v>160</v>
      </c>
    </row>
    <row r="80" ht="14.25" customHeight="1">
      <c r="A80" s="4" t="s">
        <v>163</v>
      </c>
      <c r="B80" s="4" t="s">
        <v>204</v>
      </c>
      <c r="C80" s="4" t="s">
        <v>166</v>
      </c>
    </row>
    <row r="81" ht="14.25" customHeight="1">
      <c r="A81" s="4" t="s">
        <v>156</v>
      </c>
      <c r="B81" s="4" t="s">
        <v>40</v>
      </c>
      <c r="C81" s="4" t="s">
        <v>160</v>
      </c>
    </row>
    <row r="82" ht="14.25" customHeight="1">
      <c r="A82" s="4" t="s">
        <v>156</v>
      </c>
      <c r="B82" s="4" t="s">
        <v>159</v>
      </c>
      <c r="C82" s="4" t="s">
        <v>201</v>
      </c>
    </row>
    <row r="83" ht="14.25" customHeight="1">
      <c r="A83" s="4" t="s">
        <v>156</v>
      </c>
      <c r="B83" s="4" t="s">
        <v>188</v>
      </c>
      <c r="C83" s="4" t="s">
        <v>189</v>
      </c>
    </row>
    <row r="84" ht="14.25" customHeight="1">
      <c r="A84" s="4" t="s">
        <v>156</v>
      </c>
      <c r="B84" s="4" t="s">
        <v>159</v>
      </c>
      <c r="C84" s="4" t="s">
        <v>179</v>
      </c>
    </row>
    <row r="85" ht="14.25" customHeight="1">
      <c r="A85" s="4" t="s">
        <v>156</v>
      </c>
      <c r="B85" s="4" t="s">
        <v>159</v>
      </c>
      <c r="C85" s="4" t="s">
        <v>179</v>
      </c>
    </row>
    <row r="86" ht="14.25" customHeight="1">
      <c r="A86" s="4" t="s">
        <v>156</v>
      </c>
      <c r="B86" s="4" t="s">
        <v>186</v>
      </c>
      <c r="C86" s="4" t="s">
        <v>158</v>
      </c>
    </row>
    <row r="87" ht="14.25" customHeight="1">
      <c r="A87" s="4" t="s">
        <v>156</v>
      </c>
      <c r="B87" s="4" t="s">
        <v>159</v>
      </c>
      <c r="C87" s="4" t="s">
        <v>170</v>
      </c>
    </row>
    <row r="88" ht="14.25" customHeight="1">
      <c r="A88" s="4" t="s">
        <v>156</v>
      </c>
      <c r="B88" s="4" t="s">
        <v>159</v>
      </c>
      <c r="C88" s="4" t="s">
        <v>171</v>
      </c>
    </row>
    <row r="89" ht="14.25" customHeight="1">
      <c r="A89" s="4" t="s">
        <v>156</v>
      </c>
      <c r="B89" s="4" t="s">
        <v>159</v>
      </c>
      <c r="C89" s="4" t="s">
        <v>165</v>
      </c>
    </row>
    <row r="90" ht="14.25" customHeight="1">
      <c r="A90" s="4" t="s">
        <v>156</v>
      </c>
      <c r="B90" s="4" t="s">
        <v>159</v>
      </c>
      <c r="C90" s="4" t="s">
        <v>203</v>
      </c>
    </row>
    <row r="91" ht="14.25" customHeight="1">
      <c r="A91" s="4" t="s">
        <v>156</v>
      </c>
      <c r="B91" s="4" t="s">
        <v>159</v>
      </c>
      <c r="C91" s="4" t="s">
        <v>170</v>
      </c>
    </row>
    <row r="92" ht="14.25" customHeight="1">
      <c r="A92" s="4" t="s">
        <v>163</v>
      </c>
      <c r="B92" s="4" t="s">
        <v>159</v>
      </c>
      <c r="C92" s="4" t="s">
        <v>177</v>
      </c>
    </row>
    <row r="93" ht="14.25" customHeight="1">
      <c r="A93" s="4" t="s">
        <v>156</v>
      </c>
      <c r="B93" s="4" t="s">
        <v>186</v>
      </c>
      <c r="C93" s="4" t="s">
        <v>165</v>
      </c>
    </row>
    <row r="94" ht="14.25" customHeight="1">
      <c r="A94" s="4" t="s">
        <v>156</v>
      </c>
      <c r="B94" s="4" t="s">
        <v>159</v>
      </c>
      <c r="C94" s="4" t="s">
        <v>171</v>
      </c>
    </row>
    <row r="95" ht="14.25" customHeight="1">
      <c r="A95" s="4" t="s">
        <v>156</v>
      </c>
      <c r="B95" s="4" t="s">
        <v>159</v>
      </c>
      <c r="C95" s="4" t="s">
        <v>165</v>
      </c>
    </row>
    <row r="96" ht="14.25" customHeight="1">
      <c r="A96" s="4" t="s">
        <v>156</v>
      </c>
      <c r="B96" s="4" t="s">
        <v>178</v>
      </c>
      <c r="C96" s="4" t="s">
        <v>165</v>
      </c>
    </row>
    <row r="97" ht="14.25" customHeight="1">
      <c r="A97" s="4" t="s">
        <v>156</v>
      </c>
      <c r="B97" s="4" t="s">
        <v>159</v>
      </c>
      <c r="C97" s="4" t="s">
        <v>171</v>
      </c>
    </row>
    <row r="98" ht="14.25" customHeight="1">
      <c r="A98" s="4" t="s">
        <v>156</v>
      </c>
      <c r="B98" s="4" t="s">
        <v>159</v>
      </c>
      <c r="C98" s="4" t="s">
        <v>171</v>
      </c>
    </row>
    <row r="99" ht="14.25" customHeight="1">
      <c r="A99" s="4" t="s">
        <v>156</v>
      </c>
      <c r="B99" s="4" t="s">
        <v>159</v>
      </c>
      <c r="C99" s="4" t="s">
        <v>197</v>
      </c>
    </row>
    <row r="100" ht="14.25" customHeight="1">
      <c r="A100" s="4" t="s">
        <v>156</v>
      </c>
      <c r="B100" s="4" t="s">
        <v>159</v>
      </c>
      <c r="C100" s="4" t="s">
        <v>200</v>
      </c>
    </row>
    <row r="101" ht="14.25" customHeight="1">
      <c r="A101" s="4" t="s">
        <v>156</v>
      </c>
      <c r="B101" s="4" t="s">
        <v>159</v>
      </c>
      <c r="C101" s="4" t="s">
        <v>160</v>
      </c>
    </row>
    <row r="102" ht="14.25" customHeight="1">
      <c r="A102" s="4" t="s">
        <v>156</v>
      </c>
      <c r="B102" s="4" t="s">
        <v>159</v>
      </c>
      <c r="C102" s="4" t="s">
        <v>160</v>
      </c>
    </row>
    <row r="103" ht="14.25" customHeight="1">
      <c r="A103" s="4" t="s">
        <v>156</v>
      </c>
      <c r="B103" s="4" t="s">
        <v>159</v>
      </c>
      <c r="C103" s="4" t="s">
        <v>202</v>
      </c>
    </row>
    <row r="104" ht="14.25" customHeight="1">
      <c r="A104" s="4" t="s">
        <v>156</v>
      </c>
      <c r="B104" s="4" t="s">
        <v>159</v>
      </c>
      <c r="C104" s="4" t="s">
        <v>198</v>
      </c>
    </row>
    <row r="105" ht="14.25" customHeight="1">
      <c r="A105" s="4" t="s">
        <v>156</v>
      </c>
      <c r="B105" s="4" t="s">
        <v>159</v>
      </c>
      <c r="C105" s="4" t="s">
        <v>201</v>
      </c>
    </row>
    <row r="106" ht="14.25" customHeight="1">
      <c r="A106" s="4" t="s">
        <v>156</v>
      </c>
      <c r="B106" s="4" t="s">
        <v>193</v>
      </c>
      <c r="C106" s="4" t="s">
        <v>165</v>
      </c>
    </row>
    <row r="107" ht="14.25" customHeight="1">
      <c r="A107" s="4" t="s">
        <v>156</v>
      </c>
      <c r="B107" s="4" t="s">
        <v>193</v>
      </c>
      <c r="C107" s="4" t="s">
        <v>165</v>
      </c>
    </row>
    <row r="108" ht="14.25" customHeight="1">
      <c r="A108" s="4" t="s">
        <v>156</v>
      </c>
      <c r="B108" s="4" t="s">
        <v>159</v>
      </c>
      <c r="C108" s="4" t="s">
        <v>160</v>
      </c>
    </row>
    <row r="109" ht="14.25" customHeight="1">
      <c r="A109" s="4" t="s">
        <v>156</v>
      </c>
      <c r="B109" s="4" t="s">
        <v>191</v>
      </c>
      <c r="C109" s="4" t="s">
        <v>160</v>
      </c>
    </row>
    <row r="110" ht="14.25" customHeight="1">
      <c r="A110" s="4" t="s">
        <v>156</v>
      </c>
      <c r="B110" s="4" t="s">
        <v>191</v>
      </c>
      <c r="C110" s="4" t="s">
        <v>160</v>
      </c>
    </row>
    <row r="111" ht="14.25" customHeight="1">
      <c r="A111" s="4" t="s">
        <v>156</v>
      </c>
      <c r="B111" s="4" t="s">
        <v>191</v>
      </c>
      <c r="C111" s="4" t="s">
        <v>160</v>
      </c>
    </row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8.71"/>
    <col customWidth="1" min="3" max="3" width="12.71"/>
    <col customWidth="1" min="4" max="4" width="13.14"/>
    <col customWidth="1" min="5" max="5" width="13.0"/>
    <col customWidth="1" min="6" max="6" width="8.71"/>
    <col customWidth="1" min="7" max="7" width="12.43"/>
    <col customWidth="1" min="8" max="8" width="12.71"/>
    <col customWidth="1" min="9" max="58" width="8.71"/>
  </cols>
  <sheetData>
    <row r="1" ht="14.25" customHeight="1">
      <c r="A1" s="1" t="s">
        <v>207</v>
      </c>
    </row>
    <row r="2" ht="14.25" customHeight="1"/>
    <row r="3" ht="14.25" customHeight="1">
      <c r="A3" s="3" t="s">
        <v>100</v>
      </c>
      <c r="B3" s="3" t="s">
        <v>99</v>
      </c>
      <c r="C3" s="3" t="s">
        <v>101</v>
      </c>
      <c r="D3" s="3" t="s">
        <v>208</v>
      </c>
      <c r="E3" s="3" t="s">
        <v>103</v>
      </c>
      <c r="F3" s="3" t="s">
        <v>104</v>
      </c>
      <c r="G3" s="3" t="s">
        <v>209</v>
      </c>
      <c r="H3" s="3" t="s">
        <v>210</v>
      </c>
    </row>
    <row r="4" ht="14.25" customHeight="1">
      <c r="A4" s="7">
        <v>43106.0</v>
      </c>
      <c r="B4" s="4" t="s">
        <v>108</v>
      </c>
      <c r="C4" s="4" t="s">
        <v>110</v>
      </c>
      <c r="D4" s="4" t="s">
        <v>111</v>
      </c>
      <c r="E4" s="4" t="s">
        <v>112</v>
      </c>
      <c r="F4" s="4">
        <v>95.0</v>
      </c>
      <c r="G4" s="4">
        <v>1198.0</v>
      </c>
      <c r="H4" s="4">
        <f t="shared" ref="H4:H45" si="1">F4*G4</f>
        <v>113810</v>
      </c>
    </row>
    <row r="5" ht="14.25" customHeight="1">
      <c r="A5" s="7">
        <v>43123.0</v>
      </c>
      <c r="B5" s="4" t="s">
        <v>107</v>
      </c>
      <c r="C5" s="4" t="s">
        <v>114</v>
      </c>
      <c r="D5" s="4" t="s">
        <v>115</v>
      </c>
      <c r="E5" s="4" t="s">
        <v>116</v>
      </c>
      <c r="F5" s="4">
        <v>50.0</v>
      </c>
      <c r="G5" s="4">
        <v>500.0</v>
      </c>
      <c r="H5" s="4">
        <f t="shared" si="1"/>
        <v>25000</v>
      </c>
    </row>
    <row r="6" ht="14.25" customHeight="1">
      <c r="A6" s="7">
        <v>43140.0</v>
      </c>
      <c r="B6" s="4" t="s">
        <v>107</v>
      </c>
      <c r="C6" s="4" t="s">
        <v>114</v>
      </c>
      <c r="D6" s="4" t="s">
        <v>117</v>
      </c>
      <c r="E6" s="4" t="s">
        <v>112</v>
      </c>
      <c r="F6" s="4">
        <v>36.0</v>
      </c>
      <c r="G6" s="4">
        <v>1198.0</v>
      </c>
      <c r="H6" s="4">
        <f t="shared" si="1"/>
        <v>43128</v>
      </c>
    </row>
    <row r="7" ht="14.25" customHeight="1">
      <c r="A7" s="7">
        <v>43157.0</v>
      </c>
      <c r="B7" s="4" t="s">
        <v>107</v>
      </c>
      <c r="C7" s="4" t="s">
        <v>118</v>
      </c>
      <c r="D7" s="4" t="s">
        <v>119</v>
      </c>
      <c r="E7" s="4" t="s">
        <v>120</v>
      </c>
      <c r="F7" s="4">
        <v>27.0</v>
      </c>
      <c r="G7" s="4">
        <v>225.0</v>
      </c>
      <c r="H7" s="4">
        <f t="shared" si="1"/>
        <v>6075</v>
      </c>
    </row>
    <row r="8" ht="14.25" customHeight="1">
      <c r="A8" s="7">
        <v>43174.0</v>
      </c>
      <c r="B8" s="4" t="s">
        <v>109</v>
      </c>
      <c r="C8" s="4" t="s">
        <v>118</v>
      </c>
      <c r="D8" s="4" t="s">
        <v>121</v>
      </c>
      <c r="E8" s="4" t="s">
        <v>112</v>
      </c>
      <c r="F8" s="4">
        <v>56.0</v>
      </c>
      <c r="G8" s="4">
        <v>1198.0</v>
      </c>
      <c r="H8" s="4">
        <f t="shared" si="1"/>
        <v>67088</v>
      </c>
    </row>
    <row r="9" ht="14.25" customHeight="1">
      <c r="A9" s="7">
        <v>43191.0</v>
      </c>
      <c r="B9" s="4" t="s">
        <v>108</v>
      </c>
      <c r="C9" s="4" t="s">
        <v>110</v>
      </c>
      <c r="D9" s="4" t="s">
        <v>111</v>
      </c>
      <c r="E9" s="4" t="s">
        <v>116</v>
      </c>
      <c r="F9" s="4">
        <v>60.0</v>
      </c>
      <c r="G9" s="4">
        <v>500.0</v>
      </c>
      <c r="H9" s="4">
        <f t="shared" si="1"/>
        <v>30000</v>
      </c>
    </row>
    <row r="10" ht="14.25" customHeight="1">
      <c r="A10" s="7">
        <v>43208.0</v>
      </c>
      <c r="B10" s="4" t="s">
        <v>107</v>
      </c>
      <c r="C10" s="4" t="s">
        <v>110</v>
      </c>
      <c r="D10" s="4" t="s">
        <v>122</v>
      </c>
      <c r="E10" s="4" t="s">
        <v>112</v>
      </c>
      <c r="F10" s="4">
        <v>75.0</v>
      </c>
      <c r="G10" s="4">
        <v>1198.0</v>
      </c>
      <c r="H10" s="4">
        <f t="shared" si="1"/>
        <v>89850</v>
      </c>
    </row>
    <row r="11" ht="14.25" customHeight="1">
      <c r="A11" s="7">
        <v>43225.0</v>
      </c>
      <c r="B11" s="4" t="s">
        <v>107</v>
      </c>
      <c r="C11" s="4" t="s">
        <v>114</v>
      </c>
      <c r="D11" s="4" t="s">
        <v>117</v>
      </c>
      <c r="E11" s="4" t="s">
        <v>112</v>
      </c>
      <c r="F11" s="4">
        <v>90.0</v>
      </c>
      <c r="G11" s="4">
        <v>1198.0</v>
      </c>
      <c r="H11" s="4">
        <f t="shared" si="1"/>
        <v>107820</v>
      </c>
    </row>
    <row r="12" ht="14.25" customHeight="1">
      <c r="A12" s="7">
        <v>43242.0</v>
      </c>
      <c r="B12" s="4" t="s">
        <v>109</v>
      </c>
      <c r="C12" s="4" t="s">
        <v>113</v>
      </c>
      <c r="D12" s="4" t="s">
        <v>123</v>
      </c>
      <c r="E12" s="4" t="s">
        <v>112</v>
      </c>
      <c r="F12" s="4">
        <v>32.0</v>
      </c>
      <c r="G12" s="4">
        <v>1198.0</v>
      </c>
      <c r="H12" s="4">
        <f t="shared" si="1"/>
        <v>38336</v>
      </c>
    </row>
    <row r="13" ht="14.25" customHeight="1">
      <c r="A13" s="7">
        <v>43259.0</v>
      </c>
      <c r="B13" s="4" t="s">
        <v>108</v>
      </c>
      <c r="C13" s="4" t="s">
        <v>110</v>
      </c>
      <c r="D13" s="4" t="s">
        <v>111</v>
      </c>
      <c r="E13" s="4" t="s">
        <v>116</v>
      </c>
      <c r="F13" s="4">
        <v>60.0</v>
      </c>
      <c r="G13" s="4">
        <v>500.0</v>
      </c>
      <c r="H13" s="4">
        <f t="shared" si="1"/>
        <v>30000</v>
      </c>
    </row>
    <row r="14" ht="14.25" customHeight="1">
      <c r="A14" s="7">
        <v>43276.0</v>
      </c>
      <c r="B14" s="4" t="s">
        <v>107</v>
      </c>
      <c r="C14" s="4" t="s">
        <v>114</v>
      </c>
      <c r="D14" s="4" t="s">
        <v>124</v>
      </c>
      <c r="E14" s="4" t="s">
        <v>112</v>
      </c>
      <c r="F14" s="4">
        <v>90.0</v>
      </c>
      <c r="G14" s="4">
        <v>1198.0</v>
      </c>
      <c r="H14" s="4">
        <f t="shared" si="1"/>
        <v>107820</v>
      </c>
    </row>
    <row r="15" ht="14.25" customHeight="1">
      <c r="A15" s="7">
        <v>43293.0</v>
      </c>
      <c r="B15" s="4" t="s">
        <v>108</v>
      </c>
      <c r="C15" s="4" t="s">
        <v>110</v>
      </c>
      <c r="D15" s="4" t="s">
        <v>125</v>
      </c>
      <c r="E15" s="4" t="s">
        <v>116</v>
      </c>
      <c r="F15" s="4">
        <v>29.0</v>
      </c>
      <c r="G15" s="4">
        <v>500.0</v>
      </c>
      <c r="H15" s="4">
        <f t="shared" si="1"/>
        <v>14500</v>
      </c>
    </row>
    <row r="16" ht="14.25" customHeight="1">
      <c r="A16" s="7">
        <v>43310.0</v>
      </c>
      <c r="B16" s="4" t="s">
        <v>108</v>
      </c>
      <c r="C16" s="4" t="s">
        <v>113</v>
      </c>
      <c r="D16" s="4" t="s">
        <v>126</v>
      </c>
      <c r="E16" s="4" t="s">
        <v>116</v>
      </c>
      <c r="F16" s="4">
        <v>81.0</v>
      </c>
      <c r="G16" s="4">
        <v>500.0</v>
      </c>
      <c r="H16" s="4">
        <f t="shared" si="1"/>
        <v>40500</v>
      </c>
    </row>
    <row r="17" ht="14.25" customHeight="1">
      <c r="A17" s="7">
        <v>43327.0</v>
      </c>
      <c r="B17" s="4" t="s">
        <v>108</v>
      </c>
      <c r="C17" s="4" t="s">
        <v>110</v>
      </c>
      <c r="D17" s="4" t="s">
        <v>111</v>
      </c>
      <c r="E17" s="4" t="s">
        <v>112</v>
      </c>
      <c r="F17" s="4">
        <v>35.0</v>
      </c>
      <c r="G17" s="4">
        <v>1198.0</v>
      </c>
      <c r="H17" s="4">
        <f t="shared" si="1"/>
        <v>41930</v>
      </c>
    </row>
    <row r="18" ht="14.25" customHeight="1">
      <c r="A18" s="7">
        <v>43344.0</v>
      </c>
      <c r="B18" s="4" t="s">
        <v>107</v>
      </c>
      <c r="C18" s="4" t="s">
        <v>113</v>
      </c>
      <c r="D18" s="4" t="s">
        <v>127</v>
      </c>
      <c r="E18" s="4" t="s">
        <v>128</v>
      </c>
      <c r="F18" s="4">
        <v>2.0</v>
      </c>
      <c r="G18" s="4">
        <v>125.0</v>
      </c>
      <c r="H18" s="4">
        <f t="shared" si="1"/>
        <v>250</v>
      </c>
    </row>
    <row r="19" ht="14.25" customHeight="1">
      <c r="A19" s="7">
        <v>43361.0</v>
      </c>
      <c r="B19" s="4" t="s">
        <v>108</v>
      </c>
      <c r="C19" s="4" t="s">
        <v>110</v>
      </c>
      <c r="D19" s="4" t="s">
        <v>111</v>
      </c>
      <c r="E19" s="4" t="s">
        <v>129</v>
      </c>
      <c r="F19" s="4">
        <v>16.0</v>
      </c>
      <c r="G19" s="4">
        <v>58.5</v>
      </c>
      <c r="H19" s="4">
        <f t="shared" si="1"/>
        <v>936</v>
      </c>
    </row>
    <row r="20" ht="14.25" customHeight="1">
      <c r="A20" s="7">
        <v>43378.0</v>
      </c>
      <c r="B20" s="4" t="s">
        <v>107</v>
      </c>
      <c r="C20" s="4" t="s">
        <v>114</v>
      </c>
      <c r="D20" s="4" t="s">
        <v>124</v>
      </c>
      <c r="E20" s="4" t="s">
        <v>116</v>
      </c>
      <c r="F20" s="4">
        <v>28.0</v>
      </c>
      <c r="G20" s="4">
        <v>500.0</v>
      </c>
      <c r="H20" s="4">
        <f t="shared" si="1"/>
        <v>14000</v>
      </c>
    </row>
    <row r="21" ht="14.25" customHeight="1">
      <c r="A21" s="7">
        <v>43395.0</v>
      </c>
      <c r="B21" s="4" t="s">
        <v>108</v>
      </c>
      <c r="C21" s="4" t="s">
        <v>110</v>
      </c>
      <c r="D21" s="4" t="s">
        <v>111</v>
      </c>
      <c r="E21" s="4" t="s">
        <v>120</v>
      </c>
      <c r="F21" s="4">
        <v>64.0</v>
      </c>
      <c r="G21" s="4">
        <v>225.0</v>
      </c>
      <c r="H21" s="4">
        <f t="shared" si="1"/>
        <v>14400</v>
      </c>
    </row>
    <row r="22" ht="14.25" customHeight="1">
      <c r="A22" s="7">
        <v>43412.0</v>
      </c>
      <c r="B22" s="4" t="s">
        <v>108</v>
      </c>
      <c r="C22" s="4" t="s">
        <v>113</v>
      </c>
      <c r="D22" s="4" t="s">
        <v>126</v>
      </c>
      <c r="E22" s="4" t="s">
        <v>120</v>
      </c>
      <c r="F22" s="4">
        <v>15.0</v>
      </c>
      <c r="G22" s="4">
        <v>225.0</v>
      </c>
      <c r="H22" s="4">
        <f t="shared" si="1"/>
        <v>3375</v>
      </c>
    </row>
    <row r="23" ht="14.25" customHeight="1">
      <c r="A23" s="7">
        <v>43429.0</v>
      </c>
      <c r="B23" s="4" t="s">
        <v>107</v>
      </c>
      <c r="C23" s="4" t="s">
        <v>114</v>
      </c>
      <c r="D23" s="4" t="s">
        <v>115</v>
      </c>
      <c r="E23" s="4" t="s">
        <v>129</v>
      </c>
      <c r="F23" s="4">
        <v>96.0</v>
      </c>
      <c r="G23" s="4">
        <v>58.5</v>
      </c>
      <c r="H23" s="4">
        <f t="shared" si="1"/>
        <v>5616</v>
      </c>
    </row>
    <row r="24" ht="14.25" customHeight="1">
      <c r="A24" s="7">
        <v>43446.0</v>
      </c>
      <c r="B24" s="4" t="s">
        <v>107</v>
      </c>
      <c r="C24" s="4" t="s">
        <v>113</v>
      </c>
      <c r="D24" s="4" t="s">
        <v>127</v>
      </c>
      <c r="E24" s="4" t="s">
        <v>112</v>
      </c>
      <c r="F24" s="4">
        <v>67.0</v>
      </c>
      <c r="G24" s="4">
        <v>1198.0</v>
      </c>
      <c r="H24" s="4">
        <f t="shared" si="1"/>
        <v>80266</v>
      </c>
    </row>
    <row r="25" ht="14.25" customHeight="1">
      <c r="A25" s="7">
        <v>43463.0</v>
      </c>
      <c r="B25" s="4" t="s">
        <v>108</v>
      </c>
      <c r="C25" s="4" t="s">
        <v>113</v>
      </c>
      <c r="D25" s="4" t="s">
        <v>126</v>
      </c>
      <c r="E25" s="4" t="s">
        <v>129</v>
      </c>
      <c r="F25" s="4">
        <v>74.0</v>
      </c>
      <c r="G25" s="4">
        <v>58.5</v>
      </c>
      <c r="H25" s="4">
        <f t="shared" si="1"/>
        <v>4329</v>
      </c>
    </row>
    <row r="26" ht="14.25" customHeight="1">
      <c r="A26" s="7">
        <v>43480.0</v>
      </c>
      <c r="B26" s="4" t="s">
        <v>107</v>
      </c>
      <c r="C26" s="4" t="s">
        <v>118</v>
      </c>
      <c r="D26" s="4" t="s">
        <v>119</v>
      </c>
      <c r="E26" s="4" t="s">
        <v>116</v>
      </c>
      <c r="F26" s="4">
        <v>46.0</v>
      </c>
      <c r="G26" s="4">
        <v>500.0</v>
      </c>
      <c r="H26" s="4">
        <f t="shared" si="1"/>
        <v>23000</v>
      </c>
    </row>
    <row r="27" ht="14.25" customHeight="1">
      <c r="A27" s="7">
        <v>43497.0</v>
      </c>
      <c r="B27" s="4" t="s">
        <v>107</v>
      </c>
      <c r="C27" s="4" t="s">
        <v>113</v>
      </c>
      <c r="D27" s="4" t="s">
        <v>127</v>
      </c>
      <c r="E27" s="4" t="s">
        <v>116</v>
      </c>
      <c r="F27" s="4">
        <v>87.0</v>
      </c>
      <c r="G27" s="4">
        <v>500.0</v>
      </c>
      <c r="H27" s="4">
        <f t="shared" si="1"/>
        <v>43500</v>
      </c>
    </row>
    <row r="28" ht="14.25" customHeight="1">
      <c r="A28" s="7">
        <v>43514.0</v>
      </c>
      <c r="B28" s="4" t="s">
        <v>108</v>
      </c>
      <c r="C28" s="4" t="s">
        <v>110</v>
      </c>
      <c r="D28" s="4" t="s">
        <v>111</v>
      </c>
      <c r="E28" s="4" t="s">
        <v>116</v>
      </c>
      <c r="F28" s="4">
        <v>4.0</v>
      </c>
      <c r="G28" s="4">
        <v>500.0</v>
      </c>
      <c r="H28" s="4">
        <f t="shared" si="1"/>
        <v>2000</v>
      </c>
    </row>
    <row r="29" ht="14.25" customHeight="1">
      <c r="A29" s="7">
        <v>43531.0</v>
      </c>
      <c r="B29" s="4" t="s">
        <v>109</v>
      </c>
      <c r="C29" s="4" t="s">
        <v>118</v>
      </c>
      <c r="D29" s="4" t="s">
        <v>121</v>
      </c>
      <c r="E29" s="4" t="s">
        <v>116</v>
      </c>
      <c r="F29" s="4">
        <v>7.0</v>
      </c>
      <c r="G29" s="4">
        <v>500.0</v>
      </c>
      <c r="H29" s="4">
        <f t="shared" si="1"/>
        <v>3500</v>
      </c>
    </row>
    <row r="30" ht="14.25" customHeight="1">
      <c r="A30" s="7">
        <v>43548.0</v>
      </c>
      <c r="B30" s="4" t="s">
        <v>107</v>
      </c>
      <c r="C30" s="4" t="s">
        <v>114</v>
      </c>
      <c r="D30" s="4" t="s">
        <v>117</v>
      </c>
      <c r="E30" s="4" t="s">
        <v>129</v>
      </c>
      <c r="F30" s="4">
        <v>50.0</v>
      </c>
      <c r="G30" s="4">
        <v>58.5</v>
      </c>
      <c r="H30" s="4">
        <f t="shared" si="1"/>
        <v>2925</v>
      </c>
    </row>
    <row r="31" ht="14.25" customHeight="1">
      <c r="A31" s="7">
        <v>43565.0</v>
      </c>
      <c r="B31" s="4" t="s">
        <v>107</v>
      </c>
      <c r="C31" s="4" t="s">
        <v>110</v>
      </c>
      <c r="D31" s="4" t="s">
        <v>122</v>
      </c>
      <c r="E31" s="4" t="s">
        <v>112</v>
      </c>
      <c r="F31" s="4">
        <v>66.0</v>
      </c>
      <c r="G31" s="4">
        <v>1198.0</v>
      </c>
      <c r="H31" s="4">
        <f t="shared" si="1"/>
        <v>79068</v>
      </c>
    </row>
    <row r="32" ht="14.25" customHeight="1">
      <c r="A32" s="7">
        <v>43582.0</v>
      </c>
      <c r="B32" s="4" t="s">
        <v>108</v>
      </c>
      <c r="C32" s="4" t="s">
        <v>110</v>
      </c>
      <c r="D32" s="4" t="s">
        <v>125</v>
      </c>
      <c r="E32" s="4" t="s">
        <v>120</v>
      </c>
      <c r="F32" s="4">
        <v>96.0</v>
      </c>
      <c r="G32" s="4">
        <v>225.0</v>
      </c>
      <c r="H32" s="4">
        <f t="shared" si="1"/>
        <v>21600</v>
      </c>
    </row>
    <row r="33" ht="14.25" customHeight="1">
      <c r="A33" s="7">
        <v>43599.0</v>
      </c>
      <c r="B33" s="4" t="s">
        <v>107</v>
      </c>
      <c r="C33" s="4" t="s">
        <v>118</v>
      </c>
      <c r="D33" s="4" t="s">
        <v>119</v>
      </c>
      <c r="E33" s="4" t="s">
        <v>112</v>
      </c>
      <c r="F33" s="4">
        <v>53.0</v>
      </c>
      <c r="G33" s="4">
        <v>1198.0</v>
      </c>
      <c r="H33" s="4">
        <f t="shared" si="1"/>
        <v>63494</v>
      </c>
    </row>
    <row r="34" ht="14.25" customHeight="1">
      <c r="A34" s="7">
        <v>43616.0</v>
      </c>
      <c r="B34" s="4" t="s">
        <v>107</v>
      </c>
      <c r="C34" s="4" t="s">
        <v>118</v>
      </c>
      <c r="D34" s="4" t="s">
        <v>119</v>
      </c>
      <c r="E34" s="4" t="s">
        <v>116</v>
      </c>
      <c r="F34" s="4">
        <v>80.0</v>
      </c>
      <c r="G34" s="4">
        <v>500.0</v>
      </c>
      <c r="H34" s="4">
        <f t="shared" si="1"/>
        <v>40000</v>
      </c>
    </row>
    <row r="35" ht="14.25" customHeight="1">
      <c r="A35" s="7">
        <v>43633.0</v>
      </c>
      <c r="B35" s="4" t="s">
        <v>107</v>
      </c>
      <c r="C35" s="4" t="s">
        <v>114</v>
      </c>
      <c r="D35" s="4" t="s">
        <v>115</v>
      </c>
      <c r="E35" s="4" t="s">
        <v>128</v>
      </c>
      <c r="F35" s="4">
        <v>5.0</v>
      </c>
      <c r="G35" s="4">
        <v>125.0</v>
      </c>
      <c r="H35" s="4">
        <f t="shared" si="1"/>
        <v>625</v>
      </c>
    </row>
    <row r="36" ht="14.25" customHeight="1">
      <c r="A36" s="7">
        <v>43650.0</v>
      </c>
      <c r="B36" s="4" t="s">
        <v>108</v>
      </c>
      <c r="C36" s="4" t="s">
        <v>110</v>
      </c>
      <c r="D36" s="4" t="s">
        <v>111</v>
      </c>
      <c r="E36" s="4" t="s">
        <v>129</v>
      </c>
      <c r="F36" s="4">
        <v>62.0</v>
      </c>
      <c r="G36" s="4">
        <v>58.5</v>
      </c>
      <c r="H36" s="4">
        <f t="shared" si="1"/>
        <v>3627</v>
      </c>
    </row>
    <row r="37" ht="14.25" customHeight="1">
      <c r="A37" s="7">
        <v>43667.0</v>
      </c>
      <c r="B37" s="4" t="s">
        <v>107</v>
      </c>
      <c r="C37" s="4" t="s">
        <v>114</v>
      </c>
      <c r="D37" s="4" t="s">
        <v>124</v>
      </c>
      <c r="E37" s="4" t="s">
        <v>129</v>
      </c>
      <c r="F37" s="4">
        <v>55.0</v>
      </c>
      <c r="G37" s="4">
        <v>58.5</v>
      </c>
      <c r="H37" s="4">
        <f t="shared" si="1"/>
        <v>3217.5</v>
      </c>
    </row>
    <row r="38" ht="14.25" customHeight="1">
      <c r="A38" s="7">
        <v>43684.0</v>
      </c>
      <c r="B38" s="4" t="s">
        <v>107</v>
      </c>
      <c r="C38" s="4" t="s">
        <v>114</v>
      </c>
      <c r="D38" s="4" t="s">
        <v>115</v>
      </c>
      <c r="E38" s="4" t="s">
        <v>129</v>
      </c>
      <c r="F38" s="4">
        <v>42.0</v>
      </c>
      <c r="G38" s="4">
        <v>58.5</v>
      </c>
      <c r="H38" s="4">
        <f t="shared" si="1"/>
        <v>2457</v>
      </c>
    </row>
    <row r="39" ht="14.25" customHeight="1">
      <c r="A39" s="7">
        <v>43701.0</v>
      </c>
      <c r="B39" s="4" t="s">
        <v>109</v>
      </c>
      <c r="C39" s="4" t="s">
        <v>118</v>
      </c>
      <c r="D39" s="4" t="s">
        <v>121</v>
      </c>
      <c r="E39" s="4" t="s">
        <v>128</v>
      </c>
      <c r="F39" s="4">
        <v>3.0</v>
      </c>
      <c r="G39" s="4">
        <v>125.0</v>
      </c>
      <c r="H39" s="4">
        <f t="shared" si="1"/>
        <v>375</v>
      </c>
    </row>
    <row r="40" ht="14.25" customHeight="1">
      <c r="A40" s="7">
        <v>43718.0</v>
      </c>
      <c r="B40" s="4" t="s">
        <v>107</v>
      </c>
      <c r="C40" s="4" t="s">
        <v>118</v>
      </c>
      <c r="D40" s="4" t="s">
        <v>119</v>
      </c>
      <c r="E40" s="4" t="s">
        <v>112</v>
      </c>
      <c r="F40" s="4">
        <v>7.0</v>
      </c>
      <c r="G40" s="4">
        <v>1198.0</v>
      </c>
      <c r="H40" s="4">
        <f t="shared" si="1"/>
        <v>8386</v>
      </c>
    </row>
    <row r="41" ht="14.25" customHeight="1">
      <c r="A41" s="7">
        <v>43735.0</v>
      </c>
      <c r="B41" s="4" t="s">
        <v>109</v>
      </c>
      <c r="C41" s="4" t="s">
        <v>118</v>
      </c>
      <c r="D41" s="4" t="s">
        <v>121</v>
      </c>
      <c r="E41" s="4" t="s">
        <v>120</v>
      </c>
      <c r="F41" s="4">
        <v>76.0</v>
      </c>
      <c r="G41" s="4">
        <v>225.0</v>
      </c>
      <c r="H41" s="4">
        <f t="shared" si="1"/>
        <v>17100</v>
      </c>
    </row>
    <row r="42" ht="14.25" customHeight="1">
      <c r="A42" s="7">
        <v>43752.0</v>
      </c>
      <c r="B42" s="4" t="s">
        <v>109</v>
      </c>
      <c r="C42" s="4" t="s">
        <v>113</v>
      </c>
      <c r="D42" s="4" t="s">
        <v>123</v>
      </c>
      <c r="E42" s="4" t="s">
        <v>116</v>
      </c>
      <c r="F42" s="4">
        <v>57.0</v>
      </c>
      <c r="G42" s="4">
        <v>500.0</v>
      </c>
      <c r="H42" s="4">
        <f t="shared" si="1"/>
        <v>28500</v>
      </c>
    </row>
    <row r="43" ht="14.25" customHeight="1">
      <c r="A43" s="7">
        <v>43769.0</v>
      </c>
      <c r="B43" s="4" t="s">
        <v>107</v>
      </c>
      <c r="C43" s="4" t="s">
        <v>110</v>
      </c>
      <c r="D43" s="4" t="s">
        <v>122</v>
      </c>
      <c r="E43" s="4" t="s">
        <v>112</v>
      </c>
      <c r="F43" s="4">
        <v>14.0</v>
      </c>
      <c r="G43" s="4">
        <v>1198.0</v>
      </c>
      <c r="H43" s="4">
        <f t="shared" si="1"/>
        <v>16772</v>
      </c>
    </row>
    <row r="44" ht="14.25" customHeight="1">
      <c r="A44" s="7">
        <v>43786.0</v>
      </c>
      <c r="B44" s="4" t="s">
        <v>107</v>
      </c>
      <c r="C44" s="4" t="s">
        <v>114</v>
      </c>
      <c r="D44" s="4" t="s">
        <v>117</v>
      </c>
      <c r="E44" s="4" t="s">
        <v>116</v>
      </c>
      <c r="F44" s="4">
        <v>11.0</v>
      </c>
      <c r="G44" s="4">
        <v>500.0</v>
      </c>
      <c r="H44" s="4">
        <f t="shared" si="1"/>
        <v>5500</v>
      </c>
    </row>
    <row r="45" ht="14.25" customHeight="1">
      <c r="A45" s="7">
        <v>43803.0</v>
      </c>
      <c r="B45" s="4" t="s">
        <v>107</v>
      </c>
      <c r="C45" s="4" t="s">
        <v>114</v>
      </c>
      <c r="D45" s="4" t="s">
        <v>117</v>
      </c>
      <c r="E45" s="4" t="s">
        <v>116</v>
      </c>
      <c r="F45" s="4">
        <v>94.0</v>
      </c>
      <c r="G45" s="4">
        <v>500.0</v>
      </c>
      <c r="H45" s="4">
        <f t="shared" si="1"/>
        <v>47000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I1"/>
  </mergeCells>
  <printOptions/>
  <pageMargins bottom="0.75" footer="0.0" header="0.0" left="0.7" right="0.7" top="0.75"/>
  <pageSetup orientation="landscape"/>
  <drawing r:id="rId2"/>
</worksheet>
</file>