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VY pro school\Excel\Assignment\"/>
    </mc:Choice>
  </mc:AlternateContent>
  <bookViews>
    <workbookView xWindow="0" yWindow="0" windowWidth="9990" windowHeight="6930" activeTab="2"/>
  </bookViews>
  <sheets>
    <sheet name="Q1" sheetId="1" r:id="rId1"/>
    <sheet name="Q2" sheetId="2" r:id="rId2"/>
    <sheet name="Q3" sheetId="4" r:id="rId3"/>
  </sheets>
  <definedNames>
    <definedName name="_xlnm._FilterDatabase" localSheetId="0" hidden="1">'Q1'!$A$6:$E$27</definedName>
    <definedName name="_xlnm._FilterDatabase" localSheetId="1" hidden="1">'Q2'!$A$8:$I$32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8" i="4"/>
  <c r="J32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9" i="2"/>
  <c r="B27" i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</calcChain>
</file>

<file path=xl/sharedStrings.xml><?xml version="1.0" encoding="utf-8"?>
<sst xmlns="http://schemas.openxmlformats.org/spreadsheetml/2006/main" count="347" uniqueCount="242">
  <si>
    <t>TransactionID</t>
  </si>
  <si>
    <t>SaleAmount</t>
  </si>
  <si>
    <t>SaleDate</t>
  </si>
  <si>
    <t>PaymentMode</t>
  </si>
  <si>
    <t>CustomerName</t>
  </si>
  <si>
    <t>Credit Card</t>
  </si>
  <si>
    <t>Cash</t>
  </si>
  <si>
    <t>Debit Card</t>
  </si>
  <si>
    <t>Grand Total</t>
  </si>
  <si>
    <t>Date</t>
  </si>
  <si>
    <t>Region</t>
  </si>
  <si>
    <t>Customer</t>
  </si>
  <si>
    <t>Product</t>
  </si>
  <si>
    <t>Price</t>
  </si>
  <si>
    <t>Units</t>
  </si>
  <si>
    <t>COGS</t>
  </si>
  <si>
    <t>Sales</t>
  </si>
  <si>
    <t>SouthEast</t>
  </si>
  <si>
    <t>Troung</t>
  </si>
  <si>
    <t>Amazon.com</t>
  </si>
  <si>
    <t>Bellen</t>
  </si>
  <si>
    <t>Steven</t>
  </si>
  <si>
    <t>Google</t>
  </si>
  <si>
    <t>Regal</t>
  </si>
  <si>
    <t>Chin</t>
  </si>
  <si>
    <t>Nature Company</t>
  </si>
  <si>
    <t>Carlota</t>
  </si>
  <si>
    <t>Office Depot</t>
  </si>
  <si>
    <t>Deuce</t>
  </si>
  <si>
    <t>Peet's Coffee</t>
  </si>
  <si>
    <t>SunSpot</t>
  </si>
  <si>
    <t>Sherman Williams</t>
  </si>
  <si>
    <t>Sunset</t>
  </si>
  <si>
    <t>Solar and Wind Inc.</t>
  </si>
  <si>
    <t>Aspen</t>
  </si>
  <si>
    <t>Sunshine</t>
  </si>
  <si>
    <t>The Economist</t>
  </si>
  <si>
    <t>Quad</t>
  </si>
  <si>
    <t>Whole Foods</t>
  </si>
  <si>
    <t>Yahoo</t>
  </si>
  <si>
    <t>MidWest</t>
  </si>
  <si>
    <t>Costco</t>
  </si>
  <si>
    <t>East</t>
  </si>
  <si>
    <t>North</t>
  </si>
  <si>
    <t>NorthEast</t>
  </si>
  <si>
    <t>Employee</t>
  </si>
  <si>
    <t>Alice</t>
  </si>
  <si>
    <t>John</t>
  </si>
  <si>
    <t>Emily</t>
  </si>
  <si>
    <t>Michael</t>
  </si>
  <si>
    <t>Sophia</t>
  </si>
  <si>
    <t>Daniel</t>
  </si>
  <si>
    <t>Olivia</t>
  </si>
  <si>
    <t>William</t>
  </si>
  <si>
    <t>Ava</t>
  </si>
  <si>
    <t>James</t>
  </si>
  <si>
    <t>Charlotte</t>
  </si>
  <si>
    <t>Benjamin</t>
  </si>
  <si>
    <t>Emma</t>
  </si>
  <si>
    <t>Ethan</t>
  </si>
  <si>
    <t>Mia</t>
  </si>
  <si>
    <t>Alexander</t>
  </si>
  <si>
    <t>Harper</t>
  </si>
  <si>
    <t>Samuel</t>
  </si>
  <si>
    <t>Abigail</t>
  </si>
  <si>
    <t>Liam</t>
  </si>
  <si>
    <t>Grace</t>
  </si>
  <si>
    <t>Sales data</t>
  </si>
  <si>
    <t>Calculate the total sales using the formula: Sales = Price * Units.</t>
  </si>
  <si>
    <t>According to the rules of data hygiene, please correct the below data.</t>
  </si>
  <si>
    <t>Employee ID</t>
  </si>
  <si>
    <t>Email Address</t>
  </si>
  <si>
    <t>Date of Birth</t>
  </si>
  <si>
    <t>Last Name</t>
  </si>
  <si>
    <t>First Name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</si>
  <si>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</si>
  <si>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</si>
  <si>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</si>
  <si>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</si>
  <si>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</si>
  <si>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</si>
  <si>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</si>
  <si>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</si>
  <si>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</si>
  <si>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</si>
  <si>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</si>
  <si>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</si>
  <si>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</si>
  <si>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</si>
  <si>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</si>
  <si>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</si>
  <si>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</si>
  <si>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</si>
  <si>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</si>
  <si>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</si>
  <si>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</si>
  <si>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</si>
  <si>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</si>
  <si>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</si>
  <si>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</si>
  <si>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</si>
  <si>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</si>
  <si>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</si>
  <si>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</si>
  <si>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</si>
  <si>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Noah</t>
  </si>
  <si>
    <t>Isabella</t>
  </si>
  <si>
    <t>Oliver</t>
  </si>
  <si>
    <t>Elijah</t>
  </si>
  <si>
    <t>Amelia</t>
  </si>
  <si>
    <t>Lucas</t>
  </si>
  <si>
    <t>Henry</t>
  </si>
  <si>
    <t>Evelyn</t>
  </si>
  <si>
    <t>Jackson</t>
  </si>
  <si>
    <t>Elizabeth</t>
  </si>
  <si>
    <t>Aiden</t>
  </si>
  <si>
    <t>Penelope</t>
  </si>
  <si>
    <t>Sebastian</t>
  </si>
  <si>
    <t>Scarlett</t>
  </si>
  <si>
    <t>Smith</t>
  </si>
  <si>
    <t>Johnson</t>
  </si>
  <si>
    <t>Brown</t>
  </si>
  <si>
    <t>Williams</t>
  </si>
  <si>
    <t>Martinez</t>
  </si>
  <si>
    <t>Jones</t>
  </si>
  <si>
    <t>Garcia</t>
  </si>
  <si>
    <t>Davis</t>
  </si>
  <si>
    <t>Rodriguez</t>
  </si>
  <si>
    <t>Miller</t>
  </si>
  <si>
    <t>Hernandez</t>
  </si>
  <si>
    <t>Lopez</t>
  </si>
  <si>
    <t>Gonzalez</t>
  </si>
  <si>
    <t>Perez</t>
  </si>
  <si>
    <t>Wilson</t>
  </si>
  <si>
    <t>Anderson</t>
  </si>
  <si>
    <t>Thomas</t>
  </si>
  <si>
    <t>Moore</t>
  </si>
  <si>
    <t>White</t>
  </si>
  <si>
    <t>Harris</t>
  </si>
  <si>
    <t>Martin</t>
  </si>
  <si>
    <t>Thompson</t>
  </si>
  <si>
    <t>Scott</t>
  </si>
  <si>
    <t>Young</t>
  </si>
  <si>
    <t>King</t>
  </si>
  <si>
    <t>Lee</t>
  </si>
  <si>
    <t>Taylor</t>
  </si>
  <si>
    <t>Data Science Director</t>
  </si>
  <si>
    <t>Business Intelligence Engineer</t>
  </si>
  <si>
    <t>Machine Learning Engineer</t>
  </si>
  <si>
    <t>Data Specialist</t>
  </si>
  <si>
    <t>Data Scientist</t>
  </si>
  <si>
    <t>ML Engineer</t>
  </si>
  <si>
    <t>Data Engineer</t>
  </si>
  <si>
    <t>Data Analyst</t>
  </si>
  <si>
    <t>Data Architect</t>
  </si>
  <si>
    <t>Job</t>
  </si>
  <si>
    <t>Insights:</t>
  </si>
  <si>
    <t>Age</t>
  </si>
  <si>
    <t>1-Employees' birth years ranging from 1998 to 2001 suggest a predominantly younger workforce</t>
  </si>
  <si>
    <t xml:space="preserve">  comprising individuals in their late teens to mid-twenties.</t>
  </si>
  <si>
    <t>2-Salaries range notably from $43,064 to $300,000, reflecting different experience levels or skill sets across diverse job roles.</t>
  </si>
  <si>
    <t>According to the rules of data hygiene, your task involves refining the dataset by ensuring accurate formatting.</t>
  </si>
  <si>
    <t>05.01.2023</t>
  </si>
  <si>
    <t>08.01.2023</t>
  </si>
  <si>
    <t>10.01.2023</t>
  </si>
  <si>
    <t>12.01.2023</t>
  </si>
  <si>
    <t>15.01.2023</t>
  </si>
  <si>
    <t>18.01.2023</t>
  </si>
  <si>
    <t>20.01.2023</t>
  </si>
  <si>
    <t>22.01.2023</t>
  </si>
  <si>
    <t>25.01.2023</t>
  </si>
  <si>
    <t>28.01.2023</t>
  </si>
  <si>
    <t>30.01.2023</t>
  </si>
  <si>
    <t>02.02.2023</t>
  </si>
  <si>
    <t>05.02.2023</t>
  </si>
  <si>
    <t>08.02.2023</t>
  </si>
  <si>
    <t>10.02.2023</t>
  </si>
  <si>
    <t>12.02.2023</t>
  </si>
  <si>
    <t>15.02.2023</t>
  </si>
  <si>
    <t>18.02.2023</t>
  </si>
  <si>
    <t>20.02.2023</t>
  </si>
  <si>
    <t>22.02.2023</t>
  </si>
  <si>
    <t>Transaction Dataset</t>
  </si>
  <si>
    <t>The Customer name should be John Doe instead of John/Doe</t>
  </si>
  <si>
    <t>Format the 'Price' column to display values in Indian Rupees currency (₹).</t>
  </si>
  <si>
    <t xml:space="preserve">In addition, </t>
  </si>
  <si>
    <t>EmmaSmith@ivypro</t>
  </si>
  <si>
    <t>LiamJohnson@ivypro</t>
  </si>
  <si>
    <t>OliviaBrown@ivypro</t>
  </si>
  <si>
    <t>NoahWilliams@ivypro</t>
  </si>
  <si>
    <t>AvaMartinez@ivypro</t>
  </si>
  <si>
    <t>WilliamJones@ivypro</t>
  </si>
  <si>
    <t>IsabellaGarcia@ivypro</t>
  </si>
  <si>
    <t>JamesDavis@ivypro</t>
  </si>
  <si>
    <t>SophiaRodriguez@ivypro</t>
  </si>
  <si>
    <t>OliverMiller@ivypro</t>
  </si>
  <si>
    <t>MiaHernandez@ivypro</t>
  </si>
  <si>
    <t>ElijahLopez@ivypro</t>
  </si>
  <si>
    <t>CharlotteGonzalez@ivypro</t>
  </si>
  <si>
    <t>BenjaminPerez@ivypro</t>
  </si>
  <si>
    <t>AmeliaWilson@ivypro</t>
  </si>
  <si>
    <t>LucasAnderson@ivypro</t>
  </si>
  <si>
    <t>HarperThomas@ivypro</t>
  </si>
  <si>
    <t>HenryMoore@ivypro</t>
  </si>
  <si>
    <t>EvelynJackson@ivypro</t>
  </si>
  <si>
    <t>AlexanderWhite@ivypro</t>
  </si>
  <si>
    <t>AbigailHarris@ivypro</t>
  </si>
  <si>
    <t>DanielMartin@ivypro</t>
  </si>
  <si>
    <t>EmilyThompson@ivypro</t>
  </si>
  <si>
    <t>JacksonGarcia@ivypro</t>
  </si>
  <si>
    <t>ElizabethMartinez@ivypro</t>
  </si>
  <si>
    <t>AidenScott@ivypro</t>
  </si>
  <si>
    <t>PenelopeYoung@ivypro</t>
  </si>
  <si>
    <t>SebastianKing@ivypro</t>
  </si>
  <si>
    <t>ScarlettLee@ivypro</t>
  </si>
  <si>
    <t>MichaelTaylor@ivypro</t>
  </si>
  <si>
    <t>Find the Age of Each Employee using the formula  =Today()-D8</t>
  </si>
  <si>
    <t>Rectify the email addresses from EmmaSmith@ivypro to EmmaSmith@ivypro.com</t>
  </si>
  <si>
    <t>In addition,</t>
  </si>
  <si>
    <t>Salary_in_USD</t>
  </si>
  <si>
    <t>Calculate Sales to COGS % using formula - Sales/COGS.</t>
  </si>
  <si>
    <t>Sales/COGS</t>
  </si>
  <si>
    <t>John Doe</t>
  </si>
  <si>
    <t>Jane Smith</t>
  </si>
  <si>
    <t>Alice Johnson</t>
  </si>
  <si>
    <t>Robert Williams</t>
  </si>
  <si>
    <t>Emily Brown</t>
  </si>
  <si>
    <t>Michael Davis</t>
  </si>
  <si>
    <t>Olivia Wilson</t>
  </si>
  <si>
    <t>Daniel Martinez</t>
  </si>
  <si>
    <t>Sophia Anderson</t>
  </si>
  <si>
    <t>William Garcia</t>
  </si>
  <si>
    <t>Isabella Lopez</t>
  </si>
  <si>
    <t>Mason Thomas</t>
  </si>
  <si>
    <t>Ava Hernandez</t>
  </si>
  <si>
    <t>Ethan Moore</t>
  </si>
  <si>
    <t>Chloe Lee</t>
  </si>
  <si>
    <t>Liam Clark</t>
  </si>
  <si>
    <t>Avery Perez</t>
  </si>
  <si>
    <t>Harper King</t>
  </si>
  <si>
    <t>Evelyn Scott</t>
  </si>
  <si>
    <t>Jackson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</si>
</sst>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00"/>
    <numFmt numFmtId="166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5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/>
    <xf numFmtId="2" fontId="0" fillId="0" borderId="0" xfId="0" applyNumberFormat="1"/>
    <xf numFmtId="166" fontId="0" fillId="0" borderId="0" xfId="0" applyNumberFormat="1"/>
    <xf numFmtId="0" fontId="0" fillId="0" borderId="0" xfId="0" applyNumberFormat="1"/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4" fontId="2" fillId="2" borderId="0" xfId="0" applyNumberFormat="1" applyFont="1" applyFill="1"/>
    <xf numFmtId="0" fontId="3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5" zoomScaleNormal="100" workbookViewId="0">
      <selection activeCell="A9" sqref="A9:A1048576"/>
    </sheetView>
  </sheetViews>
  <sheetFormatPr defaultRowHeight="15" x14ac:dyDescent="0.25"/>
  <cols>
    <col min="1" max="1" width="14.7109375" customWidth="1"/>
    <col min="2" max="2" width="11.85546875" bestFit="1" customWidth="1"/>
    <col min="3" max="3" width="11.42578125" bestFit="1" customWidth="1"/>
    <col min="4" max="4" width="14.140625" bestFit="1" customWidth="1"/>
    <col min="5" max="5" width="28" customWidth="1"/>
    <col min="6" max="6" width="1.140625" customWidth="1"/>
    <col min="7" max="7" width="16.140625" customWidth="1"/>
    <col min="8" max="8" width="9.85546875" bestFit="1" customWidth="1"/>
    <col min="10" max="10" width="9.85546875" bestFit="1" customWidth="1"/>
    <col min="11" max="11" width="10.7109375" bestFit="1" customWidth="1"/>
  </cols>
  <sheetData>
    <row r="1" spans="1:11" x14ac:dyDescent="0.25">
      <c r="A1" s="11" t="s">
        <v>161</v>
      </c>
      <c r="B1" s="10"/>
      <c r="C1" s="10"/>
      <c r="D1" s="10"/>
      <c r="E1" s="10"/>
      <c r="F1" s="10"/>
      <c r="G1" s="10"/>
      <c r="H1" s="10"/>
      <c r="I1" s="10"/>
    </row>
    <row r="2" spans="1:11" x14ac:dyDescent="0.25">
      <c r="A2" s="11" t="s">
        <v>183</v>
      </c>
      <c r="B2" s="10"/>
      <c r="C2" s="10"/>
      <c r="D2" s="10"/>
      <c r="E2" s="10"/>
      <c r="F2" s="10"/>
      <c r="G2" s="10"/>
      <c r="H2" s="10"/>
      <c r="I2" s="10"/>
    </row>
    <row r="3" spans="1:11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11" ht="15" customHeight="1" x14ac:dyDescent="0.25">
      <c r="A4" s="19" t="s">
        <v>182</v>
      </c>
      <c r="B4" s="19"/>
      <c r="C4" s="19"/>
      <c r="D4" s="19"/>
      <c r="E4" s="19"/>
      <c r="F4" s="19"/>
      <c r="G4" s="19"/>
    </row>
    <row r="5" spans="1:11" ht="15" customHeight="1" x14ac:dyDescent="0.25">
      <c r="A5" s="19"/>
      <c r="B5" s="19"/>
      <c r="C5" s="19"/>
      <c r="D5" s="19"/>
      <c r="E5" s="19"/>
      <c r="F5" s="19"/>
      <c r="G5" s="19"/>
    </row>
    <row r="6" spans="1:1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/>
      <c r="G6" s="2"/>
      <c r="K6" s="1"/>
    </row>
    <row r="7" spans="1:11" x14ac:dyDescent="0.25">
      <c r="A7" s="7">
        <v>1</v>
      </c>
      <c r="B7" s="5">
        <v>150</v>
      </c>
      <c r="C7" t="s">
        <v>162</v>
      </c>
      <c r="D7" t="s">
        <v>5</v>
      </c>
      <c r="E7" t="s">
        <v>222</v>
      </c>
      <c r="J7" s="6"/>
      <c r="K7" s="1"/>
    </row>
    <row r="8" spans="1:11" x14ac:dyDescent="0.25">
      <c r="A8" s="7">
        <v>2</v>
      </c>
      <c r="B8" s="5">
        <v>200.5</v>
      </c>
      <c r="C8" t="s">
        <v>163</v>
      </c>
      <c r="D8" t="s">
        <v>6</v>
      </c>
      <c r="E8" t="s">
        <v>223</v>
      </c>
      <c r="K8" s="1"/>
    </row>
    <row r="9" spans="1:11" x14ac:dyDescent="0.25">
      <c r="A9" s="7">
        <v>3</v>
      </c>
      <c r="B9" s="5">
        <v>120.75</v>
      </c>
      <c r="C9" t="s">
        <v>164</v>
      </c>
      <c r="D9" t="s">
        <v>5</v>
      </c>
      <c r="E9" t="s">
        <v>224</v>
      </c>
      <c r="K9" s="1"/>
    </row>
    <row r="10" spans="1:11" x14ac:dyDescent="0.25">
      <c r="A10" s="7">
        <v>4</v>
      </c>
      <c r="B10" s="5">
        <v>350.25</v>
      </c>
      <c r="C10" t="s">
        <v>165</v>
      </c>
      <c r="D10" t="s">
        <v>7</v>
      </c>
      <c r="E10" t="s">
        <v>225</v>
      </c>
      <c r="K10" s="1"/>
    </row>
    <row r="11" spans="1:11" x14ac:dyDescent="0.25">
      <c r="A11" s="7">
        <v>5</v>
      </c>
      <c r="B11" s="5">
        <v>180</v>
      </c>
      <c r="C11" t="s">
        <v>166</v>
      </c>
      <c r="D11" t="s">
        <v>6</v>
      </c>
      <c r="E11" t="s">
        <v>226</v>
      </c>
      <c r="K11" s="1"/>
    </row>
    <row r="12" spans="1:11" x14ac:dyDescent="0.25">
      <c r="A12" s="7">
        <v>6</v>
      </c>
      <c r="B12" s="5">
        <v>100</v>
      </c>
      <c r="C12" t="s">
        <v>167</v>
      </c>
      <c r="D12" t="s">
        <v>5</v>
      </c>
      <c r="E12" t="s">
        <v>227</v>
      </c>
      <c r="K12" s="1"/>
    </row>
    <row r="13" spans="1:11" x14ac:dyDescent="0.25">
      <c r="A13" s="7">
        <v>7</v>
      </c>
      <c r="B13" s="5">
        <v>275.5</v>
      </c>
      <c r="C13" t="s">
        <v>168</v>
      </c>
      <c r="D13" t="s">
        <v>7</v>
      </c>
      <c r="E13" t="s">
        <v>228</v>
      </c>
      <c r="K13" s="1"/>
    </row>
    <row r="14" spans="1:11" x14ac:dyDescent="0.25">
      <c r="A14" s="7">
        <v>8</v>
      </c>
      <c r="B14" s="5">
        <v>220.75</v>
      </c>
      <c r="C14" t="s">
        <v>169</v>
      </c>
      <c r="D14" t="s">
        <v>6</v>
      </c>
      <c r="E14" t="s">
        <v>229</v>
      </c>
      <c r="K14" s="1"/>
    </row>
    <row r="15" spans="1:11" x14ac:dyDescent="0.25">
      <c r="A15" s="7">
        <v>9</v>
      </c>
      <c r="B15" s="5">
        <v>130.25</v>
      </c>
      <c r="C15" t="s">
        <v>170</v>
      </c>
      <c r="D15" t="s">
        <v>5</v>
      </c>
      <c r="E15" t="s">
        <v>230</v>
      </c>
      <c r="K15" s="1"/>
    </row>
    <row r="16" spans="1:11" x14ac:dyDescent="0.25">
      <c r="A16" s="7">
        <v>10</v>
      </c>
      <c r="B16" s="5">
        <v>500</v>
      </c>
      <c r="C16" t="s">
        <v>171</v>
      </c>
      <c r="D16" t="s">
        <v>6</v>
      </c>
      <c r="E16" t="s">
        <v>231</v>
      </c>
      <c r="K16" s="1"/>
    </row>
    <row r="17" spans="1:11" x14ac:dyDescent="0.25">
      <c r="A17" s="7">
        <v>11</v>
      </c>
      <c r="B17" s="5">
        <v>190</v>
      </c>
      <c r="C17" t="s">
        <v>172</v>
      </c>
      <c r="D17" t="s">
        <v>5</v>
      </c>
      <c r="E17" t="s">
        <v>232</v>
      </c>
      <c r="K17" s="1"/>
    </row>
    <row r="18" spans="1:11" x14ac:dyDescent="0.25">
      <c r="A18" s="7">
        <v>12</v>
      </c>
      <c r="B18" s="5">
        <v>110.5</v>
      </c>
      <c r="C18" t="s">
        <v>173</v>
      </c>
      <c r="D18" t="s">
        <v>7</v>
      </c>
      <c r="E18" t="s">
        <v>233</v>
      </c>
      <c r="K18" s="1"/>
    </row>
    <row r="19" spans="1:11" x14ac:dyDescent="0.25">
      <c r="A19" s="7">
        <v>13</v>
      </c>
      <c r="B19" s="5">
        <v>320.75</v>
      </c>
      <c r="C19" t="s">
        <v>174</v>
      </c>
      <c r="D19" t="s">
        <v>5</v>
      </c>
      <c r="E19" t="s">
        <v>234</v>
      </c>
      <c r="K19" s="1"/>
    </row>
    <row r="20" spans="1:11" x14ac:dyDescent="0.25">
      <c r="A20" s="7">
        <v>14</v>
      </c>
      <c r="B20" s="5">
        <v>240</v>
      </c>
      <c r="C20" t="s">
        <v>175</v>
      </c>
      <c r="D20" t="s">
        <v>6</v>
      </c>
      <c r="E20" t="s">
        <v>235</v>
      </c>
      <c r="K20" s="1"/>
    </row>
    <row r="21" spans="1:11" x14ac:dyDescent="0.25">
      <c r="A21" s="7">
        <v>15</v>
      </c>
      <c r="B21" s="5">
        <v>140.25</v>
      </c>
      <c r="C21" t="s">
        <v>176</v>
      </c>
      <c r="D21" t="s">
        <v>5</v>
      </c>
      <c r="E21" t="s">
        <v>236</v>
      </c>
      <c r="K21" s="1"/>
    </row>
    <row r="22" spans="1:11" x14ac:dyDescent="0.25">
      <c r="A22" s="7">
        <v>16</v>
      </c>
      <c r="B22" s="5">
        <v>480.5</v>
      </c>
      <c r="C22" t="s">
        <v>177</v>
      </c>
      <c r="D22" t="s">
        <v>7</v>
      </c>
      <c r="E22" t="s">
        <v>237</v>
      </c>
      <c r="K22" s="1"/>
    </row>
    <row r="23" spans="1:11" x14ac:dyDescent="0.25">
      <c r="A23" s="7">
        <v>17</v>
      </c>
      <c r="B23" s="5">
        <v>260.75</v>
      </c>
      <c r="C23" t="s">
        <v>178</v>
      </c>
      <c r="D23" t="s">
        <v>5</v>
      </c>
      <c r="E23" t="s">
        <v>238</v>
      </c>
      <c r="K23" s="1"/>
    </row>
    <row r="24" spans="1:11" x14ac:dyDescent="0.25">
      <c r="A24" s="7">
        <v>18</v>
      </c>
      <c r="B24" s="5">
        <v>380</v>
      </c>
      <c r="C24" t="s">
        <v>179</v>
      </c>
      <c r="D24" t="s">
        <v>6</v>
      </c>
      <c r="E24" t="s">
        <v>239</v>
      </c>
      <c r="K24" s="1"/>
    </row>
    <row r="25" spans="1:11" x14ac:dyDescent="0.25">
      <c r="A25" s="7">
        <v>19</v>
      </c>
      <c r="B25" s="5">
        <v>120</v>
      </c>
      <c r="C25" t="s">
        <v>180</v>
      </c>
      <c r="D25" t="s">
        <v>7</v>
      </c>
      <c r="E25" t="s">
        <v>240</v>
      </c>
      <c r="K25" s="1"/>
    </row>
    <row r="26" spans="1:11" x14ac:dyDescent="0.25">
      <c r="A26" s="7">
        <v>20</v>
      </c>
      <c r="B26" s="5">
        <v>200.25</v>
      </c>
      <c r="C26" t="s">
        <v>181</v>
      </c>
      <c r="D26" t="s">
        <v>5</v>
      </c>
      <c r="E26" t="s">
        <v>241</v>
      </c>
    </row>
    <row r="27" spans="1:11" x14ac:dyDescent="0.25">
      <c r="A27" t="s">
        <v>8</v>
      </c>
      <c r="B27" s="4">
        <f>SUM(B7:B26)</f>
        <v>4671</v>
      </c>
    </row>
  </sheetData>
  <autoFilter ref="A6:E27"/>
  <mergeCells count="1">
    <mergeCell ref="A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9" zoomScale="85" zoomScaleNormal="85" workbookViewId="0">
      <selection activeCell="J32" sqref="J32"/>
    </sheetView>
  </sheetViews>
  <sheetFormatPr defaultRowHeight="15" x14ac:dyDescent="0.25"/>
  <cols>
    <col min="2" max="2" width="11.85546875" customWidth="1"/>
    <col min="3" max="3" width="14.7109375" customWidth="1"/>
    <col min="4" max="4" width="18.140625" bestFit="1" customWidth="1"/>
    <col min="6" max="7" width="9.28515625" bestFit="1" customWidth="1"/>
    <col min="8" max="8" width="9.5703125" bestFit="1" customWidth="1"/>
    <col min="9" max="9" width="9.7109375" bestFit="1" customWidth="1"/>
    <col min="10" max="10" width="10.42578125" bestFit="1" customWidth="1"/>
  </cols>
  <sheetData>
    <row r="1" spans="1:10" x14ac:dyDescent="0.25">
      <c r="A1" s="8" t="s">
        <v>69</v>
      </c>
    </row>
    <row r="2" spans="1:10" x14ac:dyDescent="0.25">
      <c r="A2" s="8" t="s">
        <v>185</v>
      </c>
    </row>
    <row r="3" spans="1:10" x14ac:dyDescent="0.25">
      <c r="A3" s="8" t="s">
        <v>184</v>
      </c>
    </row>
    <row r="4" spans="1:10" x14ac:dyDescent="0.25">
      <c r="A4" s="8" t="s">
        <v>68</v>
      </c>
    </row>
    <row r="5" spans="1:10" x14ac:dyDescent="0.25">
      <c r="A5" s="8" t="s">
        <v>220</v>
      </c>
    </row>
    <row r="7" spans="1:10" x14ac:dyDescent="0.25">
      <c r="A7" s="16" t="s">
        <v>67</v>
      </c>
      <c r="B7" s="16"/>
      <c r="C7" s="16"/>
      <c r="D7" s="16"/>
      <c r="E7" s="16"/>
      <c r="F7" s="16"/>
      <c r="G7" s="16"/>
      <c r="H7" s="16"/>
      <c r="I7" s="16"/>
    </row>
    <row r="8" spans="1:10" x14ac:dyDescent="0.25">
      <c r="A8" s="2" t="s">
        <v>9</v>
      </c>
      <c r="B8" s="2" t="s">
        <v>10</v>
      </c>
      <c r="C8" s="2" t="s">
        <v>45</v>
      </c>
      <c r="D8" s="2" t="s">
        <v>11</v>
      </c>
      <c r="E8" s="2" t="s">
        <v>12</v>
      </c>
      <c r="F8" s="18" t="s">
        <v>13</v>
      </c>
      <c r="G8" s="2" t="s">
        <v>14</v>
      </c>
      <c r="H8" s="2" t="s">
        <v>15</v>
      </c>
      <c r="I8" s="2" t="s">
        <v>16</v>
      </c>
      <c r="J8" s="2" t="s">
        <v>221</v>
      </c>
    </row>
    <row r="9" spans="1:10" x14ac:dyDescent="0.25">
      <c r="A9">
        <v>44747</v>
      </c>
      <c r="B9" t="s">
        <v>17</v>
      </c>
      <c r="C9" t="s">
        <v>18</v>
      </c>
      <c r="D9" s="9" t="s">
        <v>22</v>
      </c>
      <c r="E9" t="s">
        <v>20</v>
      </c>
      <c r="F9" s="14">
        <v>21</v>
      </c>
      <c r="G9" s="13">
        <v>399</v>
      </c>
      <c r="H9" s="13">
        <v>4943.6099999999997</v>
      </c>
      <c r="I9" s="13">
        <f t="shared" ref="I9:I32" si="0">F9*G9</f>
        <v>8379</v>
      </c>
      <c r="J9" s="20">
        <f>I9/H9</f>
        <v>1.6949152542372883</v>
      </c>
    </row>
    <row r="10" spans="1:10" x14ac:dyDescent="0.25">
      <c r="A10">
        <v>44604</v>
      </c>
      <c r="B10" t="s">
        <v>42</v>
      </c>
      <c r="C10" t="s">
        <v>21</v>
      </c>
      <c r="D10" s="9" t="s">
        <v>22</v>
      </c>
      <c r="E10" t="s">
        <v>23</v>
      </c>
      <c r="F10" s="14">
        <v>15</v>
      </c>
      <c r="G10" s="13">
        <v>115</v>
      </c>
      <c r="H10" s="13">
        <v>1173</v>
      </c>
      <c r="I10" s="13">
        <f t="shared" si="0"/>
        <v>1725</v>
      </c>
      <c r="J10" s="20">
        <f t="shared" ref="J10:J32" si="1">I10/H10</f>
        <v>1.4705882352941178</v>
      </c>
    </row>
    <row r="11" spans="1:10" x14ac:dyDescent="0.25">
      <c r="A11">
        <v>44640</v>
      </c>
      <c r="B11" t="s">
        <v>17</v>
      </c>
      <c r="C11" t="s">
        <v>24</v>
      </c>
      <c r="D11" t="s">
        <v>25</v>
      </c>
      <c r="E11" t="s">
        <v>26</v>
      </c>
      <c r="F11" s="14">
        <v>22</v>
      </c>
      <c r="G11" s="13">
        <v>17</v>
      </c>
      <c r="H11" s="13">
        <v>254.32</v>
      </c>
      <c r="I11" s="13">
        <f t="shared" si="0"/>
        <v>374</v>
      </c>
      <c r="J11" s="20">
        <f t="shared" si="1"/>
        <v>1.4705882352941178</v>
      </c>
    </row>
    <row r="12" spans="1:10" x14ac:dyDescent="0.25">
      <c r="A12">
        <v>44677</v>
      </c>
      <c r="B12" t="s">
        <v>44</v>
      </c>
      <c r="C12" t="s">
        <v>46</v>
      </c>
      <c r="D12" t="s">
        <v>27</v>
      </c>
      <c r="E12" t="s">
        <v>28</v>
      </c>
      <c r="F12" s="14">
        <v>25</v>
      </c>
      <c r="G12" s="13">
        <v>476</v>
      </c>
      <c r="H12" s="13">
        <v>10472</v>
      </c>
      <c r="I12" s="13">
        <f t="shared" si="0"/>
        <v>11900</v>
      </c>
      <c r="J12" s="20">
        <f t="shared" si="1"/>
        <v>1.1363636363636365</v>
      </c>
    </row>
    <row r="13" spans="1:10" x14ac:dyDescent="0.25">
      <c r="A13">
        <v>44682</v>
      </c>
      <c r="B13" t="s">
        <v>40</v>
      </c>
      <c r="C13" t="s">
        <v>47</v>
      </c>
      <c r="D13" t="s">
        <v>29</v>
      </c>
      <c r="E13" t="s">
        <v>30</v>
      </c>
      <c r="F13" s="14">
        <v>16</v>
      </c>
      <c r="G13" s="13">
        <v>429</v>
      </c>
      <c r="H13" s="13">
        <v>3775.2</v>
      </c>
      <c r="I13" s="13">
        <f t="shared" si="0"/>
        <v>6864</v>
      </c>
      <c r="J13" s="20">
        <f t="shared" si="1"/>
        <v>1.8181818181818183</v>
      </c>
    </row>
    <row r="14" spans="1:10" x14ac:dyDescent="0.25">
      <c r="A14">
        <v>44720</v>
      </c>
      <c r="B14" t="s">
        <v>17</v>
      </c>
      <c r="C14" t="s">
        <v>48</v>
      </c>
      <c r="D14" t="s">
        <v>31</v>
      </c>
      <c r="E14" t="s">
        <v>32</v>
      </c>
      <c r="F14" s="14">
        <v>21</v>
      </c>
      <c r="G14" s="13">
        <v>407</v>
      </c>
      <c r="H14" s="13">
        <v>3675.21</v>
      </c>
      <c r="I14" s="13">
        <f t="shared" si="0"/>
        <v>8547</v>
      </c>
      <c r="J14" s="20">
        <f t="shared" si="1"/>
        <v>2.3255813953488373</v>
      </c>
    </row>
    <row r="15" spans="1:10" x14ac:dyDescent="0.25">
      <c r="A15">
        <v>44757</v>
      </c>
      <c r="B15" t="s">
        <v>17</v>
      </c>
      <c r="C15" t="s">
        <v>49</v>
      </c>
      <c r="D15" s="17" t="s">
        <v>33</v>
      </c>
      <c r="E15" t="s">
        <v>23</v>
      </c>
      <c r="F15" s="14">
        <v>15</v>
      </c>
      <c r="G15" s="13">
        <v>336</v>
      </c>
      <c r="H15" s="13">
        <v>4712.3999999999996</v>
      </c>
      <c r="I15" s="13">
        <f t="shared" si="0"/>
        <v>5040</v>
      </c>
      <c r="J15" s="20">
        <f t="shared" si="1"/>
        <v>1.0695187165775402</v>
      </c>
    </row>
    <row r="16" spans="1:10" x14ac:dyDescent="0.25">
      <c r="A16">
        <v>44795</v>
      </c>
      <c r="B16" t="s">
        <v>40</v>
      </c>
      <c r="C16" t="s">
        <v>50</v>
      </c>
      <c r="D16" s="17" t="s">
        <v>33</v>
      </c>
      <c r="E16" t="s">
        <v>34</v>
      </c>
      <c r="F16" s="14">
        <v>14</v>
      </c>
      <c r="G16" s="13">
        <v>278</v>
      </c>
      <c r="H16" s="13">
        <v>2296.2800000000002</v>
      </c>
      <c r="I16" s="13">
        <f t="shared" si="0"/>
        <v>3892</v>
      </c>
      <c r="J16" s="20">
        <f t="shared" si="1"/>
        <v>1.6949152542372881</v>
      </c>
    </row>
    <row r="17" spans="1:10" x14ac:dyDescent="0.25">
      <c r="A17">
        <v>44832</v>
      </c>
      <c r="B17" t="s">
        <v>40</v>
      </c>
      <c r="C17" t="s">
        <v>51</v>
      </c>
      <c r="D17" s="17" t="s">
        <v>33</v>
      </c>
      <c r="E17" t="s">
        <v>35</v>
      </c>
      <c r="F17" s="14">
        <v>19</v>
      </c>
      <c r="G17" s="13">
        <v>184</v>
      </c>
      <c r="H17" s="13">
        <v>1293.52</v>
      </c>
      <c r="I17" s="13">
        <f t="shared" si="0"/>
        <v>3496</v>
      </c>
      <c r="J17" s="20">
        <f t="shared" si="1"/>
        <v>2.7027027027027026</v>
      </c>
    </row>
    <row r="18" spans="1:10" x14ac:dyDescent="0.25">
      <c r="A18">
        <v>44838</v>
      </c>
      <c r="B18" t="s">
        <v>17</v>
      </c>
      <c r="C18" t="s">
        <v>52</v>
      </c>
      <c r="D18" s="17" t="s">
        <v>33</v>
      </c>
      <c r="E18" t="s">
        <v>28</v>
      </c>
      <c r="F18" s="14">
        <v>25</v>
      </c>
      <c r="G18" s="13">
        <v>12</v>
      </c>
      <c r="H18" s="13">
        <v>204</v>
      </c>
      <c r="I18" s="13">
        <f t="shared" si="0"/>
        <v>300</v>
      </c>
      <c r="J18" s="20">
        <f t="shared" si="1"/>
        <v>1.4705882352941178</v>
      </c>
    </row>
    <row r="19" spans="1:10" x14ac:dyDescent="0.25">
      <c r="A19">
        <v>44876</v>
      </c>
      <c r="B19" t="s">
        <v>40</v>
      </c>
      <c r="C19" t="s">
        <v>53</v>
      </c>
      <c r="D19" s="17" t="s">
        <v>36</v>
      </c>
      <c r="E19" t="s">
        <v>28</v>
      </c>
      <c r="F19" s="14">
        <v>25</v>
      </c>
      <c r="G19" s="13">
        <v>484</v>
      </c>
      <c r="H19" s="13">
        <v>10648</v>
      </c>
      <c r="I19" s="13">
        <f t="shared" si="0"/>
        <v>12100</v>
      </c>
      <c r="J19" s="20">
        <f t="shared" si="1"/>
        <v>1.1363636363636365</v>
      </c>
    </row>
    <row r="20" spans="1:10" x14ac:dyDescent="0.25">
      <c r="A20">
        <v>44913</v>
      </c>
      <c r="B20" t="s">
        <v>17</v>
      </c>
      <c r="C20" t="s">
        <v>54</v>
      </c>
      <c r="D20" s="17" t="s">
        <v>36</v>
      </c>
      <c r="E20" t="s">
        <v>37</v>
      </c>
      <c r="F20" s="14">
        <v>24</v>
      </c>
      <c r="G20" s="13">
        <v>234</v>
      </c>
      <c r="H20" s="13">
        <v>3313.44</v>
      </c>
      <c r="I20" s="13">
        <f t="shared" si="0"/>
        <v>5616</v>
      </c>
      <c r="J20" s="20">
        <f t="shared" si="1"/>
        <v>1.6949152542372881</v>
      </c>
    </row>
    <row r="21" spans="1:10" x14ac:dyDescent="0.25">
      <c r="A21">
        <v>44588</v>
      </c>
      <c r="B21" t="s">
        <v>44</v>
      </c>
      <c r="C21" t="s">
        <v>55</v>
      </c>
      <c r="D21" s="17" t="s">
        <v>36</v>
      </c>
      <c r="E21" t="s">
        <v>35</v>
      </c>
      <c r="F21" s="14">
        <v>19</v>
      </c>
      <c r="G21" s="13">
        <v>32</v>
      </c>
      <c r="H21" s="13">
        <v>273.60000000000002</v>
      </c>
      <c r="I21" s="13">
        <f t="shared" si="0"/>
        <v>608</v>
      </c>
      <c r="J21" s="20">
        <f t="shared" si="1"/>
        <v>2.2222222222222219</v>
      </c>
    </row>
    <row r="22" spans="1:10" x14ac:dyDescent="0.25">
      <c r="A22">
        <v>44594</v>
      </c>
      <c r="B22" t="s">
        <v>43</v>
      </c>
      <c r="C22" t="s">
        <v>56</v>
      </c>
      <c r="D22" s="17" t="s">
        <v>38</v>
      </c>
      <c r="E22" t="s">
        <v>37</v>
      </c>
      <c r="F22" s="14">
        <v>24</v>
      </c>
      <c r="G22" s="13">
        <v>348</v>
      </c>
      <c r="H22" s="13">
        <v>4593.6000000000004</v>
      </c>
      <c r="I22" s="13">
        <f t="shared" si="0"/>
        <v>8352</v>
      </c>
      <c r="J22" s="20">
        <f t="shared" si="1"/>
        <v>1.8181818181818181</v>
      </c>
    </row>
    <row r="23" spans="1:10" x14ac:dyDescent="0.25">
      <c r="A23">
        <v>44629</v>
      </c>
      <c r="B23" t="s">
        <v>17</v>
      </c>
      <c r="C23" t="s">
        <v>57</v>
      </c>
      <c r="D23" s="17" t="s">
        <v>38</v>
      </c>
      <c r="E23" t="s">
        <v>26</v>
      </c>
      <c r="F23" s="14">
        <v>22</v>
      </c>
      <c r="G23" s="13">
        <v>283</v>
      </c>
      <c r="H23" s="13">
        <v>2801.7</v>
      </c>
      <c r="I23" s="13">
        <f t="shared" si="0"/>
        <v>6226</v>
      </c>
      <c r="J23" s="20">
        <f t="shared" si="1"/>
        <v>2.2222222222222223</v>
      </c>
    </row>
    <row r="24" spans="1:10" x14ac:dyDescent="0.25">
      <c r="A24">
        <v>44667</v>
      </c>
      <c r="B24" t="s">
        <v>44</v>
      </c>
      <c r="C24" t="s">
        <v>58</v>
      </c>
      <c r="D24" s="17" t="s">
        <v>38</v>
      </c>
      <c r="E24" t="s">
        <v>35</v>
      </c>
      <c r="F24" s="14">
        <v>19</v>
      </c>
      <c r="G24" s="13">
        <v>326</v>
      </c>
      <c r="H24" s="13">
        <v>3406.7</v>
      </c>
      <c r="I24" s="13">
        <f t="shared" si="0"/>
        <v>6194</v>
      </c>
      <c r="J24" s="20">
        <f t="shared" si="1"/>
        <v>1.8181818181818183</v>
      </c>
    </row>
    <row r="25" spans="1:10" x14ac:dyDescent="0.25">
      <c r="A25">
        <v>44704</v>
      </c>
      <c r="B25" t="s">
        <v>17</v>
      </c>
      <c r="C25" t="s">
        <v>59</v>
      </c>
      <c r="D25" s="17" t="s">
        <v>38</v>
      </c>
      <c r="E25" t="s">
        <v>30</v>
      </c>
      <c r="F25" s="14">
        <v>16</v>
      </c>
      <c r="G25" s="13">
        <v>214</v>
      </c>
      <c r="H25" s="13">
        <v>1540.8</v>
      </c>
      <c r="I25" s="13">
        <f t="shared" si="0"/>
        <v>3424</v>
      </c>
      <c r="J25" s="20">
        <f t="shared" si="1"/>
        <v>2.2222222222222223</v>
      </c>
    </row>
    <row r="26" spans="1:10" x14ac:dyDescent="0.25">
      <c r="A26">
        <v>44742</v>
      </c>
      <c r="B26" t="s">
        <v>17</v>
      </c>
      <c r="C26" t="s">
        <v>60</v>
      </c>
      <c r="D26" s="17" t="s">
        <v>39</v>
      </c>
      <c r="E26" t="s">
        <v>35</v>
      </c>
      <c r="F26" s="14">
        <v>19</v>
      </c>
      <c r="G26" s="13">
        <v>161</v>
      </c>
      <c r="H26" s="13">
        <v>1682.45</v>
      </c>
      <c r="I26" s="13">
        <f t="shared" si="0"/>
        <v>3059</v>
      </c>
      <c r="J26" s="20">
        <f t="shared" si="1"/>
        <v>1.8181818181818181</v>
      </c>
    </row>
    <row r="27" spans="1:10" x14ac:dyDescent="0.25">
      <c r="A27">
        <v>44748</v>
      </c>
      <c r="B27" t="s">
        <v>43</v>
      </c>
      <c r="C27" t="s">
        <v>61</v>
      </c>
      <c r="D27" s="17" t="s">
        <v>39</v>
      </c>
      <c r="E27" t="s">
        <v>28</v>
      </c>
      <c r="F27" s="14">
        <v>25</v>
      </c>
      <c r="G27" s="13">
        <v>115</v>
      </c>
      <c r="H27" s="13">
        <v>2156.25</v>
      </c>
      <c r="I27" s="13">
        <f t="shared" si="0"/>
        <v>2875</v>
      </c>
      <c r="J27" s="20">
        <f t="shared" si="1"/>
        <v>1.3333333333333333</v>
      </c>
    </row>
    <row r="28" spans="1:10" x14ac:dyDescent="0.25">
      <c r="A28">
        <v>44786</v>
      </c>
      <c r="B28" t="s">
        <v>17</v>
      </c>
      <c r="C28" t="s">
        <v>62</v>
      </c>
      <c r="D28" s="17" t="s">
        <v>39</v>
      </c>
      <c r="E28" t="s">
        <v>23</v>
      </c>
      <c r="F28" s="14">
        <v>15</v>
      </c>
      <c r="G28" s="13">
        <v>161</v>
      </c>
      <c r="H28" s="13">
        <v>1038.45</v>
      </c>
      <c r="I28" s="13">
        <f t="shared" si="0"/>
        <v>2415</v>
      </c>
      <c r="J28" s="20">
        <f t="shared" si="1"/>
        <v>2.3255813953488369</v>
      </c>
    </row>
    <row r="29" spans="1:10" x14ac:dyDescent="0.25">
      <c r="A29">
        <v>44824</v>
      </c>
      <c r="B29" t="s">
        <v>17</v>
      </c>
      <c r="C29" t="s">
        <v>63</v>
      </c>
      <c r="D29" s="17" t="s">
        <v>39</v>
      </c>
      <c r="E29" t="s">
        <v>37</v>
      </c>
      <c r="F29" s="14">
        <v>24</v>
      </c>
      <c r="G29" s="13">
        <v>19</v>
      </c>
      <c r="H29" s="13">
        <v>196.08</v>
      </c>
      <c r="I29" s="13">
        <f t="shared" si="0"/>
        <v>456</v>
      </c>
      <c r="J29" s="20">
        <f t="shared" si="1"/>
        <v>2.3255813953488369</v>
      </c>
    </row>
    <row r="30" spans="1:10" x14ac:dyDescent="0.25">
      <c r="A30">
        <v>44861</v>
      </c>
      <c r="B30" t="s">
        <v>40</v>
      </c>
      <c r="C30" t="s">
        <v>64</v>
      </c>
      <c r="D30" s="3" t="s">
        <v>19</v>
      </c>
      <c r="E30" t="s">
        <v>26</v>
      </c>
      <c r="F30" s="14">
        <v>22</v>
      </c>
      <c r="G30" s="13">
        <v>238</v>
      </c>
      <c r="H30" s="13">
        <v>3560.48</v>
      </c>
      <c r="I30" s="13">
        <f t="shared" si="0"/>
        <v>5236</v>
      </c>
      <c r="J30" s="20">
        <f t="shared" si="1"/>
        <v>1.4705882352941175</v>
      </c>
    </row>
    <row r="31" spans="1:10" x14ac:dyDescent="0.25">
      <c r="A31">
        <v>44868</v>
      </c>
      <c r="B31" t="s">
        <v>40</v>
      </c>
      <c r="C31" t="s">
        <v>65</v>
      </c>
      <c r="D31" s="17" t="s">
        <v>41</v>
      </c>
      <c r="E31" t="s">
        <v>34</v>
      </c>
      <c r="F31" s="14">
        <v>14</v>
      </c>
      <c r="G31" s="13">
        <v>407</v>
      </c>
      <c r="H31" s="13">
        <v>3361.82</v>
      </c>
      <c r="I31" s="13">
        <f t="shared" si="0"/>
        <v>5698</v>
      </c>
      <c r="J31" s="20">
        <f t="shared" si="1"/>
        <v>1.6949152542372881</v>
      </c>
    </row>
    <row r="32" spans="1:10" x14ac:dyDescent="0.25">
      <c r="A32">
        <v>44905</v>
      </c>
      <c r="B32" t="s">
        <v>43</v>
      </c>
      <c r="C32" t="s">
        <v>66</v>
      </c>
      <c r="D32" s="17" t="s">
        <v>41</v>
      </c>
      <c r="E32" t="s">
        <v>37</v>
      </c>
      <c r="F32" s="14">
        <v>24</v>
      </c>
      <c r="G32" s="13">
        <v>157</v>
      </c>
      <c r="H32" s="13">
        <v>1620.24</v>
      </c>
      <c r="I32" s="13">
        <f t="shared" si="0"/>
        <v>3768</v>
      </c>
      <c r="J32" s="20">
        <f t="shared" si="1"/>
        <v>2.3255813953488373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9" workbookViewId="0">
      <selection activeCell="G8" sqref="G8:G37"/>
    </sheetView>
  </sheetViews>
  <sheetFormatPr defaultRowHeight="15" x14ac:dyDescent="0.25"/>
  <cols>
    <col min="4" max="4" width="10.42578125" customWidth="1"/>
    <col min="5" max="5" width="19.42578125" bestFit="1" customWidth="1"/>
    <col min="6" max="6" width="16.140625" customWidth="1"/>
    <col min="7" max="7" width="10.42578125" bestFit="1" customWidth="1"/>
    <col min="8" max="8" width="28.5703125" bestFit="1" customWidth="1"/>
  </cols>
  <sheetData>
    <row r="1" spans="1:9" x14ac:dyDescent="0.25">
      <c r="A1" s="8" t="s">
        <v>69</v>
      </c>
    </row>
    <row r="2" spans="1:9" x14ac:dyDescent="0.25">
      <c r="A2" s="8" t="s">
        <v>218</v>
      </c>
    </row>
    <row r="3" spans="1:9" x14ac:dyDescent="0.25">
      <c r="A3" s="8" t="s">
        <v>216</v>
      </c>
    </row>
    <row r="4" spans="1:9" x14ac:dyDescent="0.25">
      <c r="A4" s="8" t="s">
        <v>217</v>
      </c>
    </row>
    <row r="7" spans="1:9" x14ac:dyDescent="0.25">
      <c r="A7" s="2" t="s">
        <v>70</v>
      </c>
      <c r="B7" s="2" t="s">
        <v>74</v>
      </c>
      <c r="C7" s="2" t="s">
        <v>73</v>
      </c>
      <c r="D7" s="2" t="s">
        <v>72</v>
      </c>
      <c r="E7" s="2" t="s">
        <v>71</v>
      </c>
      <c r="F7" s="2" t="s">
        <v>219</v>
      </c>
      <c r="G7" s="2" t="s">
        <v>157</v>
      </c>
      <c r="H7" s="2" t="s">
        <v>155</v>
      </c>
    </row>
    <row r="8" spans="1:9" x14ac:dyDescent="0.25">
      <c r="A8" t="s">
        <v>75</v>
      </c>
      <c r="B8" t="s">
        <v>58</v>
      </c>
      <c r="C8" t="s">
        <v>119</v>
      </c>
      <c r="D8" s="1">
        <v>36297</v>
      </c>
      <c r="E8" t="s">
        <v>186</v>
      </c>
      <c r="F8" s="7">
        <v>212000</v>
      </c>
      <c r="G8" s="15">
        <f ca="1">INT((TODAY()-D8)/365)</f>
        <v>25</v>
      </c>
      <c r="H8" t="s">
        <v>146</v>
      </c>
    </row>
    <row r="9" spans="1:9" x14ac:dyDescent="0.25">
      <c r="A9" t="s">
        <v>76</v>
      </c>
      <c r="B9" t="s">
        <v>65</v>
      </c>
      <c r="C9" t="s">
        <v>120</v>
      </c>
      <c r="D9" s="1">
        <v>36137</v>
      </c>
      <c r="E9" t="s">
        <v>187</v>
      </c>
      <c r="F9" s="7">
        <v>190000</v>
      </c>
      <c r="G9" s="15">
        <f t="shared" ref="G9:G37" ca="1" si="0">INT((TODAY()-D9)/365)</f>
        <v>26</v>
      </c>
      <c r="H9" t="s">
        <v>146</v>
      </c>
    </row>
    <row r="10" spans="1:9" x14ac:dyDescent="0.25">
      <c r="A10" t="s">
        <v>77</v>
      </c>
      <c r="B10" t="s">
        <v>52</v>
      </c>
      <c r="C10" t="s">
        <v>121</v>
      </c>
      <c r="D10" s="1">
        <v>36795</v>
      </c>
      <c r="E10" t="s">
        <v>188</v>
      </c>
      <c r="F10" s="7">
        <v>43064</v>
      </c>
      <c r="G10" s="15">
        <f t="shared" ca="1" si="0"/>
        <v>24</v>
      </c>
      <c r="H10" t="s">
        <v>147</v>
      </c>
    </row>
    <row r="11" spans="1:9" x14ac:dyDescent="0.25">
      <c r="A11" t="s">
        <v>78</v>
      </c>
      <c r="B11" t="s">
        <v>105</v>
      </c>
      <c r="C11" t="s">
        <v>122</v>
      </c>
      <c r="D11" s="1">
        <v>36964</v>
      </c>
      <c r="E11" t="s">
        <v>189</v>
      </c>
      <c r="F11" s="7">
        <v>43064</v>
      </c>
      <c r="G11" s="15">
        <f t="shared" ca="1" si="0"/>
        <v>23</v>
      </c>
      <c r="H11" t="s">
        <v>147</v>
      </c>
      <c r="I11" s="8"/>
    </row>
    <row r="12" spans="1:9" x14ac:dyDescent="0.25">
      <c r="A12" t="s">
        <v>79</v>
      </c>
      <c r="B12" t="s">
        <v>54</v>
      </c>
      <c r="C12" t="s">
        <v>123</v>
      </c>
      <c r="D12" s="1">
        <v>36129</v>
      </c>
      <c r="E12" t="s">
        <v>190</v>
      </c>
      <c r="F12" s="7">
        <v>245700</v>
      </c>
      <c r="G12" s="15">
        <f t="shared" ca="1" si="0"/>
        <v>26</v>
      </c>
      <c r="H12" t="s">
        <v>148</v>
      </c>
    </row>
    <row r="13" spans="1:9" x14ac:dyDescent="0.25">
      <c r="A13" t="s">
        <v>80</v>
      </c>
      <c r="B13" t="s">
        <v>53</v>
      </c>
      <c r="C13" t="s">
        <v>124</v>
      </c>
      <c r="D13" s="1">
        <v>36363</v>
      </c>
      <c r="E13" t="s">
        <v>191</v>
      </c>
      <c r="F13" s="7">
        <v>132300</v>
      </c>
      <c r="G13" s="15">
        <f t="shared" ca="1" si="0"/>
        <v>25</v>
      </c>
      <c r="H13" t="s">
        <v>148</v>
      </c>
    </row>
    <row r="14" spans="1:9" x14ac:dyDescent="0.25">
      <c r="A14" t="s">
        <v>81</v>
      </c>
      <c r="B14" t="s">
        <v>106</v>
      </c>
      <c r="C14" t="s">
        <v>125</v>
      </c>
      <c r="D14" s="1">
        <v>36802</v>
      </c>
      <c r="E14" t="s">
        <v>192</v>
      </c>
      <c r="F14" s="7">
        <v>90000</v>
      </c>
      <c r="G14" s="15">
        <f t="shared" ca="1" si="0"/>
        <v>24</v>
      </c>
      <c r="H14" t="s">
        <v>149</v>
      </c>
    </row>
    <row r="15" spans="1:9" x14ac:dyDescent="0.25">
      <c r="A15" t="s">
        <v>82</v>
      </c>
      <c r="B15" t="s">
        <v>55</v>
      </c>
      <c r="C15" t="s">
        <v>126</v>
      </c>
      <c r="D15" s="1">
        <v>37114</v>
      </c>
      <c r="E15" t="s">
        <v>193</v>
      </c>
      <c r="F15" s="7">
        <v>80000</v>
      </c>
      <c r="G15" s="15">
        <f t="shared" ca="1" si="0"/>
        <v>23</v>
      </c>
      <c r="H15" t="s">
        <v>149</v>
      </c>
    </row>
    <row r="16" spans="1:9" x14ac:dyDescent="0.25">
      <c r="A16" t="s">
        <v>83</v>
      </c>
      <c r="B16" t="s">
        <v>50</v>
      </c>
      <c r="C16" t="s">
        <v>127</v>
      </c>
      <c r="D16" s="1">
        <v>35951</v>
      </c>
      <c r="E16" t="s">
        <v>194</v>
      </c>
      <c r="F16" s="7">
        <v>212000</v>
      </c>
      <c r="G16" s="15">
        <f t="shared" ca="1" si="0"/>
        <v>26</v>
      </c>
      <c r="H16" t="s">
        <v>148</v>
      </c>
      <c r="I16" s="8"/>
    </row>
    <row r="17" spans="1:8" x14ac:dyDescent="0.25">
      <c r="A17" t="s">
        <v>84</v>
      </c>
      <c r="B17" t="s">
        <v>107</v>
      </c>
      <c r="C17" t="s">
        <v>128</v>
      </c>
      <c r="D17" s="1">
        <v>36941</v>
      </c>
      <c r="E17" t="s">
        <v>195</v>
      </c>
      <c r="F17" s="7">
        <v>93300</v>
      </c>
      <c r="G17" s="15">
        <f t="shared" ca="1" si="0"/>
        <v>23</v>
      </c>
      <c r="H17" t="s">
        <v>148</v>
      </c>
    </row>
    <row r="18" spans="1:8" x14ac:dyDescent="0.25">
      <c r="A18" t="s">
        <v>85</v>
      </c>
      <c r="B18" t="s">
        <v>60</v>
      </c>
      <c r="C18" t="s">
        <v>129</v>
      </c>
      <c r="D18" s="1">
        <v>36277</v>
      </c>
      <c r="E18" t="s">
        <v>196</v>
      </c>
      <c r="F18" s="7">
        <v>212000</v>
      </c>
      <c r="G18" s="15">
        <f t="shared" ca="1" si="0"/>
        <v>25</v>
      </c>
      <c r="H18" t="s">
        <v>150</v>
      </c>
    </row>
    <row r="19" spans="1:8" x14ac:dyDescent="0.25">
      <c r="A19" t="s">
        <v>86</v>
      </c>
      <c r="B19" t="s">
        <v>108</v>
      </c>
      <c r="C19" t="s">
        <v>130</v>
      </c>
      <c r="D19" s="1">
        <v>36535</v>
      </c>
      <c r="E19" t="s">
        <v>197</v>
      </c>
      <c r="F19" s="7">
        <v>93300</v>
      </c>
      <c r="G19" s="15">
        <f t="shared" ca="1" si="0"/>
        <v>24</v>
      </c>
      <c r="H19" t="s">
        <v>150</v>
      </c>
    </row>
    <row r="20" spans="1:8" x14ac:dyDescent="0.25">
      <c r="A20" t="s">
        <v>87</v>
      </c>
      <c r="B20" t="s">
        <v>56</v>
      </c>
      <c r="C20" t="s">
        <v>131</v>
      </c>
      <c r="D20" s="1">
        <v>36036</v>
      </c>
      <c r="E20" t="s">
        <v>198</v>
      </c>
      <c r="F20" s="7">
        <v>276000</v>
      </c>
      <c r="G20" s="15">
        <f t="shared" ca="1" si="0"/>
        <v>26</v>
      </c>
      <c r="H20" t="s">
        <v>151</v>
      </c>
    </row>
    <row r="21" spans="1:8" x14ac:dyDescent="0.25">
      <c r="A21" t="s">
        <v>88</v>
      </c>
      <c r="B21" t="s">
        <v>57</v>
      </c>
      <c r="C21" t="s">
        <v>132</v>
      </c>
      <c r="D21" s="1">
        <v>37060</v>
      </c>
      <c r="E21" t="s">
        <v>199</v>
      </c>
      <c r="F21" s="7">
        <v>174000</v>
      </c>
      <c r="G21" s="15">
        <f t="shared" ca="1" si="0"/>
        <v>23</v>
      </c>
      <c r="H21" t="s">
        <v>151</v>
      </c>
    </row>
    <row r="22" spans="1:8" x14ac:dyDescent="0.25">
      <c r="A22" t="s">
        <v>89</v>
      </c>
      <c r="B22" t="s">
        <v>109</v>
      </c>
      <c r="C22" t="s">
        <v>133</v>
      </c>
      <c r="D22" s="1">
        <v>36519</v>
      </c>
      <c r="E22" t="s">
        <v>200</v>
      </c>
      <c r="F22" s="7">
        <v>133000</v>
      </c>
      <c r="G22" s="15">
        <f t="shared" ca="1" si="0"/>
        <v>25</v>
      </c>
      <c r="H22" t="s">
        <v>152</v>
      </c>
    </row>
    <row r="23" spans="1:8" x14ac:dyDescent="0.25">
      <c r="A23" t="s">
        <v>90</v>
      </c>
      <c r="B23" t="s">
        <v>110</v>
      </c>
      <c r="C23" t="s">
        <v>134</v>
      </c>
      <c r="D23" s="1">
        <v>36778</v>
      </c>
      <c r="E23" t="s">
        <v>201</v>
      </c>
      <c r="F23" s="7">
        <v>58300</v>
      </c>
      <c r="G23" s="15">
        <f t="shared" ca="1" si="0"/>
        <v>24</v>
      </c>
      <c r="H23" t="s">
        <v>152</v>
      </c>
    </row>
    <row r="24" spans="1:8" x14ac:dyDescent="0.25">
      <c r="A24" t="s">
        <v>91</v>
      </c>
      <c r="B24" t="s">
        <v>62</v>
      </c>
      <c r="C24" t="s">
        <v>135</v>
      </c>
      <c r="D24" s="1">
        <v>36101</v>
      </c>
      <c r="E24" t="s">
        <v>202</v>
      </c>
      <c r="F24" s="7">
        <v>145640</v>
      </c>
      <c r="G24" s="15">
        <f t="shared" ca="1" si="0"/>
        <v>26</v>
      </c>
      <c r="H24" t="s">
        <v>153</v>
      </c>
    </row>
    <row r="25" spans="1:8" x14ac:dyDescent="0.25">
      <c r="A25" t="s">
        <v>92</v>
      </c>
      <c r="B25" t="s">
        <v>111</v>
      </c>
      <c r="C25" t="s">
        <v>136</v>
      </c>
      <c r="D25" s="1">
        <v>36311</v>
      </c>
      <c r="E25" t="s">
        <v>203</v>
      </c>
      <c r="F25" s="7">
        <v>84400</v>
      </c>
      <c r="G25" s="15">
        <f t="shared" ca="1" si="0"/>
        <v>25</v>
      </c>
      <c r="H25" t="s">
        <v>153</v>
      </c>
    </row>
    <row r="26" spans="1:8" x14ac:dyDescent="0.25">
      <c r="A26" t="s">
        <v>93</v>
      </c>
      <c r="B26" t="s">
        <v>112</v>
      </c>
      <c r="C26" t="s">
        <v>113</v>
      </c>
      <c r="D26" s="1">
        <v>37086</v>
      </c>
      <c r="E26" t="s">
        <v>204</v>
      </c>
      <c r="F26" s="7">
        <v>300000</v>
      </c>
      <c r="G26" s="15">
        <f t="shared" ca="1" si="0"/>
        <v>23</v>
      </c>
      <c r="H26" t="s">
        <v>152</v>
      </c>
    </row>
    <row r="27" spans="1:8" x14ac:dyDescent="0.25">
      <c r="A27" t="s">
        <v>94</v>
      </c>
      <c r="B27" t="s">
        <v>61</v>
      </c>
      <c r="C27" t="s">
        <v>137</v>
      </c>
      <c r="D27" s="1">
        <v>36608</v>
      </c>
      <c r="E27" t="s">
        <v>205</v>
      </c>
      <c r="F27" s="7">
        <v>195000</v>
      </c>
      <c r="G27" s="15">
        <f t="shared" ca="1" si="0"/>
        <v>24</v>
      </c>
      <c r="H27" t="s">
        <v>152</v>
      </c>
    </row>
    <row r="28" spans="1:8" x14ac:dyDescent="0.25">
      <c r="A28" t="s">
        <v>95</v>
      </c>
      <c r="B28" t="s">
        <v>64</v>
      </c>
      <c r="C28" t="s">
        <v>138</v>
      </c>
      <c r="D28" s="1">
        <v>36084</v>
      </c>
      <c r="E28" t="s">
        <v>206</v>
      </c>
      <c r="F28" s="7">
        <v>190000</v>
      </c>
      <c r="G28" s="15">
        <f t="shared" ca="1" si="0"/>
        <v>26</v>
      </c>
      <c r="H28" t="s">
        <v>154</v>
      </c>
    </row>
    <row r="29" spans="1:8" x14ac:dyDescent="0.25">
      <c r="A29" t="s">
        <v>96</v>
      </c>
      <c r="B29" t="s">
        <v>51</v>
      </c>
      <c r="C29" t="s">
        <v>139</v>
      </c>
      <c r="D29" s="1">
        <v>36256</v>
      </c>
      <c r="E29" t="s">
        <v>207</v>
      </c>
      <c r="F29" s="7">
        <v>107500</v>
      </c>
      <c r="G29" s="15">
        <f t="shared" ca="1" si="0"/>
        <v>25</v>
      </c>
      <c r="H29" t="s">
        <v>154</v>
      </c>
    </row>
    <row r="30" spans="1:8" x14ac:dyDescent="0.25">
      <c r="A30" t="s">
        <v>97</v>
      </c>
      <c r="B30" t="s">
        <v>48</v>
      </c>
      <c r="C30" t="s">
        <v>140</v>
      </c>
      <c r="D30" s="1">
        <v>36553</v>
      </c>
      <c r="E30" t="s">
        <v>208</v>
      </c>
      <c r="F30" s="7">
        <v>105000</v>
      </c>
      <c r="G30" s="15">
        <f t="shared" ca="1" si="0"/>
        <v>24</v>
      </c>
      <c r="H30" t="s">
        <v>153</v>
      </c>
    </row>
    <row r="31" spans="1:8" x14ac:dyDescent="0.25">
      <c r="A31" t="s">
        <v>98</v>
      </c>
      <c r="B31" t="s">
        <v>113</v>
      </c>
      <c r="C31" t="s">
        <v>125</v>
      </c>
      <c r="D31" s="1">
        <v>37110</v>
      </c>
      <c r="E31" t="s">
        <v>209</v>
      </c>
      <c r="F31" s="7">
        <v>75000</v>
      </c>
      <c r="G31" s="15">
        <f t="shared" ca="1" si="0"/>
        <v>23</v>
      </c>
      <c r="H31" t="s">
        <v>153</v>
      </c>
    </row>
    <row r="32" spans="1:8" x14ac:dyDescent="0.25">
      <c r="A32" t="s">
        <v>99</v>
      </c>
      <c r="B32" t="s">
        <v>114</v>
      </c>
      <c r="C32" t="s">
        <v>123</v>
      </c>
      <c r="D32" s="1">
        <v>35977</v>
      </c>
      <c r="E32" t="s">
        <v>210</v>
      </c>
      <c r="F32" s="7">
        <v>140000</v>
      </c>
      <c r="G32" s="15">
        <f t="shared" ca="1" si="0"/>
        <v>26</v>
      </c>
      <c r="H32" t="s">
        <v>153</v>
      </c>
    </row>
    <row r="33" spans="1:8" x14ac:dyDescent="0.25">
      <c r="A33" t="s">
        <v>100</v>
      </c>
      <c r="B33" t="s">
        <v>115</v>
      </c>
      <c r="C33" t="s">
        <v>141</v>
      </c>
      <c r="D33" s="1">
        <v>36658</v>
      </c>
      <c r="E33" t="s">
        <v>211</v>
      </c>
      <c r="F33" s="7">
        <v>98000</v>
      </c>
      <c r="G33" s="15">
        <f t="shared" ca="1" si="0"/>
        <v>24</v>
      </c>
      <c r="H33" t="s">
        <v>153</v>
      </c>
    </row>
    <row r="34" spans="1:8" x14ac:dyDescent="0.25">
      <c r="A34" t="s">
        <v>101</v>
      </c>
      <c r="B34" t="s">
        <v>116</v>
      </c>
      <c r="C34" t="s">
        <v>142</v>
      </c>
      <c r="D34" s="1">
        <v>36946</v>
      </c>
      <c r="E34" t="s">
        <v>212</v>
      </c>
      <c r="F34" s="7">
        <v>204500</v>
      </c>
      <c r="G34" s="15">
        <f t="shared" ca="1" si="0"/>
        <v>23</v>
      </c>
      <c r="H34" t="s">
        <v>148</v>
      </c>
    </row>
    <row r="35" spans="1:8" x14ac:dyDescent="0.25">
      <c r="A35" t="s">
        <v>102</v>
      </c>
      <c r="B35" t="s">
        <v>117</v>
      </c>
      <c r="C35" t="s">
        <v>143</v>
      </c>
      <c r="D35" s="1">
        <v>36058</v>
      </c>
      <c r="E35" t="s">
        <v>213</v>
      </c>
      <c r="F35" s="7">
        <v>142200</v>
      </c>
      <c r="G35" s="15">
        <f t="shared" ca="1" si="0"/>
        <v>26</v>
      </c>
      <c r="H35" t="s">
        <v>148</v>
      </c>
    </row>
    <row r="36" spans="1:8" x14ac:dyDescent="0.25">
      <c r="A36" t="s">
        <v>103</v>
      </c>
      <c r="B36" t="s">
        <v>118</v>
      </c>
      <c r="C36" t="s">
        <v>144</v>
      </c>
      <c r="D36" s="1">
        <v>36340</v>
      </c>
      <c r="E36" t="s">
        <v>214</v>
      </c>
      <c r="F36" s="7">
        <v>236160</v>
      </c>
      <c r="G36" s="15">
        <f t="shared" ca="1" si="0"/>
        <v>25</v>
      </c>
      <c r="H36" t="s">
        <v>150</v>
      </c>
    </row>
    <row r="37" spans="1:8" x14ac:dyDescent="0.25">
      <c r="A37" t="s">
        <v>104</v>
      </c>
      <c r="B37" t="s">
        <v>49</v>
      </c>
      <c r="C37" t="s">
        <v>145</v>
      </c>
      <c r="D37" s="1">
        <v>36873</v>
      </c>
      <c r="E37" t="s">
        <v>215</v>
      </c>
      <c r="F37" s="7">
        <v>159408</v>
      </c>
      <c r="G37" s="15">
        <f t="shared" ca="1" si="0"/>
        <v>24</v>
      </c>
      <c r="H37" t="s">
        <v>150</v>
      </c>
    </row>
    <row r="38" spans="1:8" x14ac:dyDescent="0.25">
      <c r="A38" s="12" t="s">
        <v>156</v>
      </c>
      <c r="B38" s="12" t="s">
        <v>158</v>
      </c>
      <c r="G38" s="1"/>
    </row>
    <row r="39" spans="1:8" x14ac:dyDescent="0.25">
      <c r="A39" s="12"/>
      <c r="B39" s="12" t="s">
        <v>159</v>
      </c>
      <c r="G39" s="1"/>
    </row>
    <row r="40" spans="1:8" x14ac:dyDescent="0.25">
      <c r="A40" s="12"/>
      <c r="B40" s="12" t="s">
        <v>160</v>
      </c>
      <c r="G40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nawid Khichi</dc:creator>
  <cp:lastModifiedBy>Lenovo</cp:lastModifiedBy>
  <dcterms:created xsi:type="dcterms:W3CDTF">2023-12-26T06:57:46Z</dcterms:created>
  <dcterms:modified xsi:type="dcterms:W3CDTF">2024-12-18T13:24:22Z</dcterms:modified>
</cp:coreProperties>
</file>