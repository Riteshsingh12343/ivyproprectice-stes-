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BEBB76B5-12B4-4355-AA21-1C5A320642BF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Table">Sheet1!$B$16:$D$21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1" l="1"/>
  <c r="D20" i="1" s="1"/>
  <c r="D21" i="1" s="1"/>
  <c r="D18" i="1"/>
  <c r="K17" i="1" l="1"/>
</calcChain>
</file>

<file path=xl/sharedStrings.xml><?xml version="1.0" encoding="utf-8"?>
<sst xmlns="http://schemas.openxmlformats.org/spreadsheetml/2006/main" count="130" uniqueCount="70">
  <si>
    <t>Basic Lookup - Exact Match</t>
  </si>
  <si>
    <t>Product</t>
  </si>
  <si>
    <t>Price</t>
  </si>
  <si>
    <t>Prod 1</t>
  </si>
  <si>
    <t>Prod 2</t>
  </si>
  <si>
    <t>Prod 3</t>
  </si>
  <si>
    <t>Prod 4</t>
  </si>
  <si>
    <t>Prod 5</t>
  </si>
  <si>
    <t>Prod 6</t>
  </si>
  <si>
    <t>Prod 7</t>
  </si>
  <si>
    <t>Prod 8</t>
  </si>
  <si>
    <t>Prod 9</t>
  </si>
  <si>
    <t>Prod 10</t>
  </si>
  <si>
    <t>Basic Lookup - Approx. Match</t>
  </si>
  <si>
    <t>Income</t>
  </si>
  <si>
    <t>Tax</t>
  </si>
  <si>
    <t>Tax Amt</t>
  </si>
  <si>
    <t>Name</t>
  </si>
  <si>
    <t>Test 01</t>
  </si>
  <si>
    <t>Test 02</t>
  </si>
  <si>
    <t>Test 03</t>
  </si>
  <si>
    <t>Test 04</t>
  </si>
  <si>
    <t>Test 05</t>
  </si>
  <si>
    <t>Siuox RadCool</t>
  </si>
  <si>
    <t>Dina Kim</t>
  </si>
  <si>
    <t>Dennis Ho</t>
  </si>
  <si>
    <t>Tu Pham</t>
  </si>
  <si>
    <t>Fred Tap</t>
  </si>
  <si>
    <t>Columns</t>
  </si>
  <si>
    <t>Match</t>
  </si>
  <si>
    <t>Match with Vlookup and Referencing</t>
  </si>
  <si>
    <t>SX-4</t>
  </si>
  <si>
    <t>Alto</t>
  </si>
  <si>
    <t>Innova</t>
  </si>
  <si>
    <t>Civic</t>
  </si>
  <si>
    <t>Delhi</t>
  </si>
  <si>
    <t>Mumbai</t>
  </si>
  <si>
    <t>Kolkata</t>
  </si>
  <si>
    <t>Chennai</t>
  </si>
  <si>
    <t>Car Type</t>
  </si>
  <si>
    <t>City</t>
  </si>
  <si>
    <t>Index &amp; Match</t>
  </si>
  <si>
    <t>Car</t>
  </si>
  <si>
    <t>HLookUp</t>
  </si>
  <si>
    <t>HLookUp &amp; ROWS Function</t>
  </si>
  <si>
    <t>Sales</t>
  </si>
  <si>
    <t>Years worked</t>
  </si>
  <si>
    <t>Bonus %</t>
  </si>
  <si>
    <t>Bonus w/yrs</t>
  </si>
  <si>
    <t>Years worked &lt;5years</t>
  </si>
  <si>
    <t>Years worked &gt;=5years</t>
  </si>
  <si>
    <t>a</t>
  </si>
  <si>
    <t>Bonus</t>
  </si>
  <si>
    <t>b</t>
  </si>
  <si>
    <t>0-10000</t>
  </si>
  <si>
    <t>c</t>
  </si>
  <si>
    <t>10k-20k</t>
  </si>
  <si>
    <t>d</t>
  </si>
  <si>
    <t>20k-50k</t>
  </si>
  <si>
    <t>e</t>
  </si>
  <si>
    <t>50k-70k</t>
  </si>
  <si>
    <t>f</t>
  </si>
  <si>
    <t>&gt;70k</t>
  </si>
  <si>
    <t>g</t>
  </si>
  <si>
    <t>h</t>
  </si>
  <si>
    <t xml:space="preserve"> </t>
  </si>
  <si>
    <t>Fixed Amt For Prev Slab</t>
  </si>
  <si>
    <t>Fixed</t>
  </si>
  <si>
    <t>Curr Slab Amt</t>
  </si>
  <si>
    <t>For a given income, find the tax amount.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</si>
</sst>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4" fillId="2" borderId="2" xfId="0" applyFont="1" applyFill="1" applyBorder="1"/>
    <xf numFmtId="0" fontId="5" fillId="0" borderId="2" xfId="0" applyFont="1" applyBorder="1"/>
    <xf numFmtId="0" fontId="5" fillId="3" borderId="2" xfId="0" applyFont="1" applyFill="1" applyBorder="1"/>
    <xf numFmtId="0" fontId="5" fillId="3" borderId="0" xfId="0" applyFont="1" applyFill="1" applyBorder="1"/>
    <xf numFmtId="4" fontId="0" fillId="0" borderId="0" xfId="0" applyNumberFormat="1"/>
    <xf numFmtId="0" fontId="4" fillId="2" borderId="0" xfId="0" applyFont="1" applyFill="1" applyBorder="1"/>
    <xf numFmtId="0" fontId="3" fillId="0" borderId="2" xfId="0" applyFont="1" applyBorder="1"/>
    <xf numFmtId="9" fontId="0" fillId="0" borderId="2" xfId="0" applyNumberFormat="1" applyBorder="1"/>
    <xf numFmtId="0" fontId="2" fillId="0" borderId="0" xfId="0" applyFont="1" applyAlignment="1">
      <alignment horizontal="center"/>
    </xf>
    <xf numFmtId="0" fontId="5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4" fontId="0" fillId="4" borderId="2" xfId="0" applyNumberFormat="1" applyFill="1" applyBorder="1"/>
    <xf numFmtId="4" fontId="0" fillId="0" borderId="2" xfId="0" applyNumberFormat="1" applyBorder="1"/>
    <xf numFmtId="0" fontId="6" fillId="0" borderId="2" xfId="0" applyFont="1" applyBorder="1"/>
    <xf numFmtId="164" fontId="0" fillId="0" borderId="2" xfId="0" applyNumberFormat="1" applyBorder="1"/>
    <xf numFmtId="0" fontId="0" fillId="0" borderId="2" xfId="0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83"/>
  <sheetViews>
    <sheetView tabSelected="1" topLeftCell="A6" zoomScale="120" zoomScaleNormal="120" workbookViewId="0">
      <selection activeCell="A17" sqref="A17"/>
    </sheetView>
  </sheetViews>
  <sheetFormatPr defaultRowHeight="14.25" x14ac:dyDescent="0.45"/>
  <cols>
    <col min="1" max="1" width="15" customWidth="1"/>
    <col min="2" max="2" width="12.9296875" bestFit="1" customWidth="1"/>
    <col min="3" max="3" width="15.53125" bestFit="1" customWidth="1"/>
    <col min="4" max="4" width="11.796875" customWidth="1"/>
    <col min="5" max="5" width="11.53125" bestFit="1" customWidth="1"/>
    <col min="6" max="6" width="18" bestFit="1" customWidth="1"/>
    <col min="7" max="7" width="11.53125" bestFit="1" customWidth="1"/>
    <col min="8" max="8" width="11.53125" customWidth="1"/>
    <col min="9" max="9" width="15.53125" bestFit="1" customWidth="1"/>
    <col min="10" max="10" width="15.53125" customWidth="1"/>
    <col min="15" max="15" width="17.53125" customWidth="1"/>
    <col min="16" max="16" width="6.53125" bestFit="1" customWidth="1"/>
  </cols>
  <sheetData>
    <row r="2" spans="2:11" x14ac:dyDescent="0.45">
      <c r="C2" s="16" t="s">
        <v>0</v>
      </c>
      <c r="D2" s="16"/>
      <c r="E2" s="16"/>
      <c r="F2" s="16"/>
      <c r="G2" s="16"/>
      <c r="H2" s="16"/>
      <c r="I2" s="16"/>
      <c r="J2" s="13"/>
    </row>
    <row r="3" spans="2:11" ht="14.65" thickBot="1" x14ac:dyDescent="0.5">
      <c r="C3" s="1" t="s">
        <v>1</v>
      </c>
      <c r="D3" s="1" t="s">
        <v>2</v>
      </c>
      <c r="F3" s="2" t="s">
        <v>1</v>
      </c>
      <c r="G3" s="2" t="s">
        <v>2</v>
      </c>
      <c r="H3" s="2"/>
    </row>
    <row r="4" spans="2:11" x14ac:dyDescent="0.45">
      <c r="C4" t="s">
        <v>3</v>
      </c>
      <c r="D4">
        <v>5465</v>
      </c>
      <c r="F4" s="3"/>
    </row>
    <row r="5" spans="2:11" x14ac:dyDescent="0.45">
      <c r="C5" t="s">
        <v>4</v>
      </c>
      <c r="D5">
        <v>9777</v>
      </c>
    </row>
    <row r="6" spans="2:11" x14ac:dyDescent="0.45">
      <c r="C6" t="s">
        <v>5</v>
      </c>
      <c r="D6">
        <v>7331</v>
      </c>
    </row>
    <row r="7" spans="2:11" x14ac:dyDescent="0.45">
      <c r="C7" t="s">
        <v>6</v>
      </c>
      <c r="D7">
        <v>5492</v>
      </c>
    </row>
    <row r="8" spans="2:11" x14ac:dyDescent="0.45">
      <c r="C8" t="s">
        <v>7</v>
      </c>
      <c r="D8">
        <v>3858</v>
      </c>
    </row>
    <row r="9" spans="2:11" x14ac:dyDescent="0.45">
      <c r="C9" t="s">
        <v>8</v>
      </c>
      <c r="D9">
        <v>4960</v>
      </c>
    </row>
    <row r="10" spans="2:11" x14ac:dyDescent="0.45">
      <c r="C10" t="s">
        <v>9</v>
      </c>
      <c r="D10">
        <v>3742</v>
      </c>
    </row>
    <row r="11" spans="2:11" x14ac:dyDescent="0.45">
      <c r="C11" t="s">
        <v>10</v>
      </c>
      <c r="D11">
        <v>8215</v>
      </c>
    </row>
    <row r="12" spans="2:11" x14ac:dyDescent="0.45">
      <c r="C12" t="s">
        <v>11</v>
      </c>
      <c r="D12">
        <v>1955</v>
      </c>
    </row>
    <row r="13" spans="2:11" x14ac:dyDescent="0.45">
      <c r="C13" t="s">
        <v>12</v>
      </c>
      <c r="D13">
        <v>6113</v>
      </c>
    </row>
    <row r="15" spans="2:11" x14ac:dyDescent="0.45">
      <c r="C15" s="16" t="s">
        <v>13</v>
      </c>
      <c r="D15" s="16"/>
      <c r="E15" s="16"/>
      <c r="F15" s="16"/>
      <c r="G15" s="16"/>
      <c r="H15" s="16"/>
      <c r="I15" s="16"/>
      <c r="J15" s="13"/>
    </row>
    <row r="16" spans="2:11" x14ac:dyDescent="0.45">
      <c r="B16" s="18" t="s">
        <v>14</v>
      </c>
      <c r="C16" s="18" t="s">
        <v>15</v>
      </c>
      <c r="D16" s="21" t="s">
        <v>66</v>
      </c>
      <c r="G16" s="18" t="s">
        <v>14</v>
      </c>
      <c r="H16" s="18" t="s">
        <v>67</v>
      </c>
      <c r="I16" s="18" t="s">
        <v>15</v>
      </c>
      <c r="J16" s="18" t="s">
        <v>68</v>
      </c>
      <c r="K16" s="2" t="s">
        <v>16</v>
      </c>
    </row>
    <row r="17" spans="1:11" x14ac:dyDescent="0.45">
      <c r="A17" s="3"/>
      <c r="B17" s="22">
        <v>150000</v>
      </c>
      <c r="C17" s="12">
        <v>0.1</v>
      </c>
      <c r="D17" s="23">
        <v>0</v>
      </c>
      <c r="G17" s="19"/>
      <c r="H17" s="20"/>
      <c r="I17" s="12"/>
      <c r="J17" s="20"/>
      <c r="K17">
        <f>J17*I17+H17</f>
        <v>0</v>
      </c>
    </row>
    <row r="18" spans="1:11" x14ac:dyDescent="0.45">
      <c r="B18" s="22">
        <v>300000</v>
      </c>
      <c r="C18" s="12">
        <v>0.15</v>
      </c>
      <c r="D18" s="23">
        <f>C17*(B18-B17)+D17</f>
        <v>15000</v>
      </c>
    </row>
    <row r="19" spans="1:11" x14ac:dyDescent="0.45">
      <c r="B19" s="22">
        <v>400000</v>
      </c>
      <c r="C19" s="12">
        <v>0.2</v>
      </c>
      <c r="D19" s="23">
        <f t="shared" ref="D19:D21" si="0">C18*(B19-B18)+D18</f>
        <v>30000</v>
      </c>
      <c r="G19" t="s">
        <v>69</v>
      </c>
    </row>
    <row r="20" spans="1:11" x14ac:dyDescent="0.45">
      <c r="B20" s="22">
        <v>600000</v>
      </c>
      <c r="C20" s="12">
        <v>0.25</v>
      </c>
      <c r="D20" s="23">
        <f t="shared" si="0"/>
        <v>70000</v>
      </c>
    </row>
    <row r="21" spans="1:11" x14ac:dyDescent="0.45">
      <c r="B21" s="22">
        <v>1000000</v>
      </c>
      <c r="C21" s="12">
        <v>0.3</v>
      </c>
      <c r="D21" s="23">
        <f t="shared" si="0"/>
        <v>170000</v>
      </c>
    </row>
    <row r="25" spans="1:11" x14ac:dyDescent="0.45">
      <c r="C25" s="5" t="s">
        <v>17</v>
      </c>
      <c r="D25" s="5" t="s">
        <v>18</v>
      </c>
      <c r="E25" s="5" t="s">
        <v>19</v>
      </c>
      <c r="F25" s="5" t="s">
        <v>20</v>
      </c>
      <c r="G25" s="5" t="s">
        <v>21</v>
      </c>
      <c r="H25" s="5"/>
      <c r="I25" s="5" t="s">
        <v>22</v>
      </c>
      <c r="J25" s="10"/>
    </row>
    <row r="26" spans="1:11" x14ac:dyDescent="0.45">
      <c r="C26" s="6" t="s">
        <v>23</v>
      </c>
      <c r="D26" s="6">
        <v>94</v>
      </c>
      <c r="E26" s="6">
        <v>0</v>
      </c>
      <c r="F26" s="6">
        <v>7</v>
      </c>
      <c r="G26" s="6">
        <v>4</v>
      </c>
      <c r="H26" s="6"/>
      <c r="I26" s="6">
        <v>53</v>
      </c>
      <c r="J26" s="14"/>
    </row>
    <row r="27" spans="1:11" x14ac:dyDescent="0.45">
      <c r="C27" s="6" t="s">
        <v>24</v>
      </c>
      <c r="D27" s="6">
        <v>38</v>
      </c>
      <c r="E27" s="6">
        <v>48</v>
      </c>
      <c r="F27" s="6">
        <v>52</v>
      </c>
      <c r="G27" s="6">
        <v>71</v>
      </c>
      <c r="H27" s="6"/>
      <c r="I27" s="6">
        <v>16</v>
      </c>
      <c r="J27" s="14"/>
    </row>
    <row r="28" spans="1:11" x14ac:dyDescent="0.45">
      <c r="C28" s="6" t="s">
        <v>25</v>
      </c>
      <c r="D28" s="6">
        <v>67</v>
      </c>
      <c r="E28" s="6">
        <v>99</v>
      </c>
      <c r="F28" s="6">
        <v>60</v>
      </c>
      <c r="G28" s="6">
        <v>54</v>
      </c>
      <c r="H28" s="6"/>
      <c r="I28" s="6">
        <v>7</v>
      </c>
      <c r="J28" s="14"/>
    </row>
    <row r="29" spans="1:11" x14ac:dyDescent="0.45">
      <c r="C29" s="6" t="s">
        <v>26</v>
      </c>
      <c r="D29" s="6">
        <v>58</v>
      </c>
      <c r="E29" s="6">
        <v>43</v>
      </c>
      <c r="F29" s="6">
        <v>77</v>
      </c>
      <c r="G29" s="6">
        <v>41</v>
      </c>
      <c r="H29" s="6"/>
      <c r="I29" s="6">
        <v>32</v>
      </c>
      <c r="J29" s="14"/>
    </row>
    <row r="30" spans="1:11" x14ac:dyDescent="0.45">
      <c r="C30" s="6" t="s">
        <v>27</v>
      </c>
      <c r="D30" s="6">
        <v>43</v>
      </c>
      <c r="E30" s="6">
        <v>93</v>
      </c>
      <c r="F30" s="6">
        <v>3</v>
      </c>
      <c r="G30" s="6">
        <v>85</v>
      </c>
      <c r="H30" s="6"/>
      <c r="I30" s="6">
        <v>60</v>
      </c>
      <c r="J30" s="14"/>
    </row>
    <row r="32" spans="1:11" x14ac:dyDescent="0.45">
      <c r="C32" s="17" t="s">
        <v>28</v>
      </c>
      <c r="D32" s="17"/>
      <c r="E32" s="17"/>
      <c r="F32" s="17"/>
      <c r="G32" s="17"/>
      <c r="H32" s="17"/>
      <c r="I32" s="17"/>
      <c r="J32" s="15"/>
    </row>
    <row r="33" spans="3:10" x14ac:dyDescent="0.45">
      <c r="C33" s="7" t="s">
        <v>17</v>
      </c>
      <c r="D33" s="7" t="s">
        <v>18</v>
      </c>
      <c r="E33" s="7" t="s">
        <v>19</v>
      </c>
      <c r="F33" s="7" t="s">
        <v>20</v>
      </c>
      <c r="G33" s="7" t="s">
        <v>21</v>
      </c>
      <c r="H33" s="7"/>
      <c r="I33" s="7" t="s">
        <v>22</v>
      </c>
      <c r="J33" s="8"/>
    </row>
    <row r="34" spans="3:10" x14ac:dyDescent="0.45">
      <c r="C34" s="3" t="s">
        <v>26</v>
      </c>
    </row>
    <row r="36" spans="3:10" x14ac:dyDescent="0.45">
      <c r="C36" s="16" t="s">
        <v>29</v>
      </c>
      <c r="D36" s="16"/>
      <c r="E36" s="16"/>
      <c r="F36" s="16"/>
    </row>
    <row r="37" spans="3:10" x14ac:dyDescent="0.45">
      <c r="C37" s="7" t="s">
        <v>17</v>
      </c>
      <c r="D37" s="7" t="s">
        <v>18</v>
      </c>
      <c r="E37" s="7" t="s">
        <v>20</v>
      </c>
      <c r="F37" s="8" t="s">
        <v>21</v>
      </c>
      <c r="G37" s="8" t="s">
        <v>22</v>
      </c>
      <c r="H37" s="8"/>
    </row>
    <row r="40" spans="3:10" x14ac:dyDescent="0.45">
      <c r="C40" s="16" t="s">
        <v>30</v>
      </c>
      <c r="D40" s="16"/>
      <c r="E40" s="16"/>
      <c r="F40" s="16"/>
      <c r="G40" s="16"/>
      <c r="H40" s="13"/>
    </row>
    <row r="41" spans="3:10" x14ac:dyDescent="0.45">
      <c r="D41" s="2" t="s">
        <v>31</v>
      </c>
      <c r="E41" s="2" t="s">
        <v>32</v>
      </c>
      <c r="F41" s="2" t="s">
        <v>33</v>
      </c>
      <c r="G41" s="2" t="s">
        <v>34</v>
      </c>
      <c r="H41" s="2"/>
    </row>
    <row r="42" spans="3:10" x14ac:dyDescent="0.45">
      <c r="C42" s="2" t="s">
        <v>35</v>
      </c>
      <c r="D42" s="9">
        <v>698108</v>
      </c>
      <c r="E42" s="9">
        <v>669171</v>
      </c>
      <c r="F42" s="9">
        <v>658208</v>
      </c>
      <c r="G42" s="9">
        <v>644004</v>
      </c>
      <c r="H42" s="9"/>
    </row>
    <row r="43" spans="3:10" x14ac:dyDescent="0.45">
      <c r="C43" s="2" t="s">
        <v>36</v>
      </c>
      <c r="D43" s="9">
        <v>738112</v>
      </c>
      <c r="E43" s="9">
        <v>586505</v>
      </c>
      <c r="F43" s="9">
        <v>693200</v>
      </c>
      <c r="G43" s="9">
        <v>729850</v>
      </c>
      <c r="H43" s="9"/>
    </row>
    <row r="44" spans="3:10" x14ac:dyDescent="0.45">
      <c r="C44" s="2" t="s">
        <v>37</v>
      </c>
      <c r="D44" s="9">
        <v>600297</v>
      </c>
      <c r="E44" s="9">
        <v>661550</v>
      </c>
      <c r="F44" s="9">
        <v>721418</v>
      </c>
      <c r="G44" s="9">
        <v>530388</v>
      </c>
      <c r="H44" s="9"/>
    </row>
    <row r="45" spans="3:10" x14ac:dyDescent="0.45">
      <c r="C45" s="2" t="s">
        <v>38</v>
      </c>
      <c r="D45" s="9">
        <v>589159</v>
      </c>
      <c r="E45" s="9">
        <v>702989</v>
      </c>
      <c r="F45" s="9">
        <v>687358</v>
      </c>
      <c r="G45" s="9">
        <v>500490</v>
      </c>
      <c r="H45" s="9"/>
    </row>
    <row r="46" spans="3:10" x14ac:dyDescent="0.45">
      <c r="C46" s="16"/>
      <c r="D46" s="16"/>
      <c r="E46" s="16"/>
      <c r="F46" s="16"/>
      <c r="G46" s="16"/>
      <c r="H46" s="13"/>
    </row>
    <row r="47" spans="3:10" x14ac:dyDescent="0.45">
      <c r="C47" s="2" t="s">
        <v>39</v>
      </c>
      <c r="D47" s="3" t="s">
        <v>34</v>
      </c>
      <c r="E47" s="3" t="s">
        <v>34</v>
      </c>
      <c r="F47" s="3" t="s">
        <v>34</v>
      </c>
      <c r="G47" s="3" t="s">
        <v>31</v>
      </c>
      <c r="H47" s="3"/>
    </row>
    <row r="48" spans="3:10" x14ac:dyDescent="0.45">
      <c r="C48" s="2" t="s">
        <v>40</v>
      </c>
      <c r="D48" s="3" t="s">
        <v>35</v>
      </c>
      <c r="E48" s="3" t="s">
        <v>36</v>
      </c>
      <c r="F48" s="3" t="s">
        <v>37</v>
      </c>
      <c r="G48" s="3" t="s">
        <v>37</v>
      </c>
      <c r="H48" s="3"/>
    </row>
    <row r="49" spans="3:10" x14ac:dyDescent="0.45">
      <c r="C49" s="2" t="s">
        <v>2</v>
      </c>
      <c r="D49" t="s">
        <v>65</v>
      </c>
    </row>
    <row r="50" spans="3:10" x14ac:dyDescent="0.45">
      <c r="I50" s="3"/>
      <c r="J50" s="3"/>
    </row>
    <row r="51" spans="3:10" x14ac:dyDescent="0.45">
      <c r="C51" s="16" t="s">
        <v>41</v>
      </c>
      <c r="D51" s="16"/>
      <c r="E51" s="16"/>
      <c r="F51" s="16"/>
      <c r="G51" s="16"/>
      <c r="H51" s="13"/>
    </row>
    <row r="52" spans="3:10" x14ac:dyDescent="0.45">
      <c r="C52" s="2" t="s">
        <v>42</v>
      </c>
      <c r="D52" s="3" t="s">
        <v>33</v>
      </c>
      <c r="E52" s="3" t="s">
        <v>34</v>
      </c>
      <c r="F52" s="3" t="s">
        <v>34</v>
      </c>
      <c r="G52" s="3" t="s">
        <v>31</v>
      </c>
      <c r="H52" s="3"/>
    </row>
    <row r="53" spans="3:10" x14ac:dyDescent="0.45">
      <c r="C53" s="2" t="s">
        <v>40</v>
      </c>
      <c r="D53" s="3" t="s">
        <v>37</v>
      </c>
      <c r="E53" s="3" t="s">
        <v>36</v>
      </c>
      <c r="F53" s="3" t="s">
        <v>37</v>
      </c>
      <c r="G53" s="3" t="s">
        <v>37</v>
      </c>
      <c r="H53" s="3"/>
    </row>
    <row r="54" spans="3:10" x14ac:dyDescent="0.45">
      <c r="C54" s="2" t="s">
        <v>2</v>
      </c>
    </row>
    <row r="58" spans="3:10" x14ac:dyDescent="0.45">
      <c r="C58" s="17" t="s">
        <v>43</v>
      </c>
      <c r="D58" s="17"/>
      <c r="E58" s="17"/>
      <c r="F58" s="17"/>
      <c r="G58" s="17"/>
      <c r="H58" s="17"/>
      <c r="I58" s="17"/>
      <c r="J58" s="15"/>
    </row>
    <row r="59" spans="3:10" x14ac:dyDescent="0.45">
      <c r="C59" s="5" t="s">
        <v>17</v>
      </c>
      <c r="D59" s="6" t="s">
        <v>23</v>
      </c>
      <c r="E59" s="6" t="s">
        <v>24</v>
      </c>
      <c r="F59" s="6" t="s">
        <v>25</v>
      </c>
      <c r="G59" s="6" t="s">
        <v>26</v>
      </c>
      <c r="H59" s="6"/>
      <c r="I59" s="6" t="s">
        <v>27</v>
      </c>
      <c r="J59" s="14"/>
    </row>
    <row r="60" spans="3:10" x14ac:dyDescent="0.45">
      <c r="C60" s="5" t="s">
        <v>18</v>
      </c>
      <c r="D60" s="6">
        <v>94</v>
      </c>
      <c r="E60" s="6">
        <v>38</v>
      </c>
      <c r="F60" s="6">
        <v>67</v>
      </c>
      <c r="G60" s="6">
        <v>58</v>
      </c>
      <c r="H60" s="6"/>
      <c r="I60" s="6">
        <v>43</v>
      </c>
      <c r="J60" s="14"/>
    </row>
    <row r="61" spans="3:10" x14ac:dyDescent="0.45">
      <c r="C61" s="5" t="s">
        <v>19</v>
      </c>
      <c r="D61" s="6">
        <v>0</v>
      </c>
      <c r="E61" s="6">
        <v>48</v>
      </c>
      <c r="F61" s="6">
        <v>99</v>
      </c>
      <c r="G61" s="6">
        <v>43</v>
      </c>
      <c r="H61" s="6"/>
      <c r="I61" s="6">
        <v>93</v>
      </c>
      <c r="J61" s="14"/>
    </row>
    <row r="62" spans="3:10" x14ac:dyDescent="0.45">
      <c r="C62" s="5" t="s">
        <v>20</v>
      </c>
      <c r="D62" s="6">
        <v>7</v>
      </c>
      <c r="E62" s="6">
        <v>52</v>
      </c>
      <c r="F62" s="6">
        <v>60</v>
      </c>
      <c r="G62" s="6">
        <v>77</v>
      </c>
      <c r="H62" s="6"/>
      <c r="I62" s="6">
        <v>3</v>
      </c>
      <c r="J62" s="14"/>
    </row>
    <row r="63" spans="3:10" x14ac:dyDescent="0.45">
      <c r="C63" s="5" t="s">
        <v>21</v>
      </c>
      <c r="D63" s="6">
        <v>4</v>
      </c>
      <c r="E63" s="6">
        <v>71</v>
      </c>
      <c r="F63" s="6">
        <v>54</v>
      </c>
      <c r="G63" s="6">
        <v>41</v>
      </c>
      <c r="H63" s="6"/>
      <c r="I63" s="6">
        <v>85</v>
      </c>
      <c r="J63" s="14"/>
    </row>
    <row r="64" spans="3:10" x14ac:dyDescent="0.45">
      <c r="C64" s="5" t="s">
        <v>22</v>
      </c>
      <c r="D64" s="6">
        <v>53</v>
      </c>
      <c r="E64" s="6">
        <v>16</v>
      </c>
      <c r="F64" s="6">
        <v>7</v>
      </c>
      <c r="G64" s="6">
        <v>32</v>
      </c>
      <c r="H64" s="6"/>
      <c r="I64" s="6">
        <v>60</v>
      </c>
      <c r="J64" s="14"/>
    </row>
    <row r="66" spans="3:16" x14ac:dyDescent="0.45">
      <c r="C66" s="16" t="s">
        <v>44</v>
      </c>
      <c r="D66" s="16"/>
      <c r="E66" s="16"/>
      <c r="F66" s="16"/>
      <c r="G66" s="16"/>
      <c r="H66" s="16"/>
      <c r="I66" s="16"/>
      <c r="J66" s="13"/>
    </row>
    <row r="67" spans="3:16" x14ac:dyDescent="0.45">
      <c r="C67" s="10" t="s">
        <v>17</v>
      </c>
      <c r="D67" s="3" t="s">
        <v>26</v>
      </c>
      <c r="E67" s="3" t="s">
        <v>24</v>
      </c>
      <c r="F67" s="3" t="s">
        <v>25</v>
      </c>
    </row>
    <row r="68" spans="3:16" x14ac:dyDescent="0.45">
      <c r="C68" s="10" t="s">
        <v>18</v>
      </c>
    </row>
    <row r="69" spans="3:16" x14ac:dyDescent="0.45">
      <c r="C69" s="10" t="s">
        <v>19</v>
      </c>
    </row>
    <row r="70" spans="3:16" x14ac:dyDescent="0.45">
      <c r="C70" s="10" t="s">
        <v>20</v>
      </c>
    </row>
    <row r="71" spans="3:16" x14ac:dyDescent="0.45">
      <c r="C71" s="10" t="s">
        <v>21</v>
      </c>
    </row>
    <row r="72" spans="3:16" x14ac:dyDescent="0.45">
      <c r="C72" s="10" t="s">
        <v>22</v>
      </c>
    </row>
    <row r="75" spans="3:16" x14ac:dyDescent="0.45">
      <c r="C75" s="3" t="s">
        <v>17</v>
      </c>
      <c r="D75" s="3" t="s">
        <v>45</v>
      </c>
      <c r="E75" s="3" t="s">
        <v>46</v>
      </c>
      <c r="F75" s="3" t="s">
        <v>47</v>
      </c>
      <c r="G75" s="3" t="s">
        <v>48</v>
      </c>
      <c r="H75" s="3"/>
      <c r="K75" s="17" t="s">
        <v>49</v>
      </c>
      <c r="L75" s="17"/>
      <c r="M75" s="17"/>
      <c r="O75" s="16" t="s">
        <v>50</v>
      </c>
      <c r="P75" s="16"/>
    </row>
    <row r="76" spans="3:16" x14ac:dyDescent="0.45">
      <c r="C76" s="3" t="s">
        <v>51</v>
      </c>
      <c r="D76" s="9">
        <v>2400</v>
      </c>
      <c r="E76">
        <v>4</v>
      </c>
      <c r="K76" s="11" t="s">
        <v>45</v>
      </c>
      <c r="L76" s="11" t="s">
        <v>45</v>
      </c>
      <c r="M76" s="11" t="s">
        <v>52</v>
      </c>
      <c r="O76" s="3" t="s">
        <v>45</v>
      </c>
      <c r="P76" s="3" t="s">
        <v>52</v>
      </c>
    </row>
    <row r="77" spans="3:16" x14ac:dyDescent="0.45">
      <c r="C77" s="3" t="s">
        <v>53</v>
      </c>
      <c r="D77" s="9">
        <v>73789</v>
      </c>
      <c r="E77">
        <v>5</v>
      </c>
      <c r="K77" s="11" t="s">
        <v>54</v>
      </c>
      <c r="L77" s="11">
        <v>0</v>
      </c>
      <c r="M77" s="12">
        <v>0</v>
      </c>
      <c r="O77" s="3">
        <v>0</v>
      </c>
      <c r="P77" s="4">
        <v>0.02</v>
      </c>
    </row>
    <row r="78" spans="3:16" x14ac:dyDescent="0.45">
      <c r="C78" s="3" t="s">
        <v>55</v>
      </c>
      <c r="D78" s="9">
        <v>48631</v>
      </c>
      <c r="E78">
        <v>10</v>
      </c>
      <c r="K78" s="11" t="s">
        <v>56</v>
      </c>
      <c r="L78" s="11">
        <v>10000</v>
      </c>
      <c r="M78" s="12">
        <v>0.02</v>
      </c>
      <c r="O78" s="3">
        <v>10000</v>
      </c>
      <c r="P78" s="4">
        <v>0.03</v>
      </c>
    </row>
    <row r="79" spans="3:16" x14ac:dyDescent="0.45">
      <c r="C79" s="3" t="s">
        <v>57</v>
      </c>
      <c r="D79" s="9">
        <v>54846</v>
      </c>
      <c r="E79">
        <v>7</v>
      </c>
      <c r="K79" s="11" t="s">
        <v>58</v>
      </c>
      <c r="L79" s="11">
        <v>20000</v>
      </c>
      <c r="M79" s="12">
        <v>0.05</v>
      </c>
      <c r="O79" s="3">
        <v>20000</v>
      </c>
      <c r="P79" s="4">
        <v>7.0000000000000007E-2</v>
      </c>
    </row>
    <row r="80" spans="3:16" x14ac:dyDescent="0.45">
      <c r="C80" s="3" t="s">
        <v>59</v>
      </c>
      <c r="D80" s="9">
        <v>44957</v>
      </c>
      <c r="E80">
        <v>2</v>
      </c>
      <c r="K80" s="11" t="s">
        <v>60</v>
      </c>
      <c r="L80" s="11">
        <v>50000</v>
      </c>
      <c r="M80" s="12">
        <v>7.0000000000000007E-2</v>
      </c>
      <c r="O80" s="3">
        <v>50000</v>
      </c>
      <c r="P80" s="4">
        <v>0.09</v>
      </c>
    </row>
    <row r="81" spans="3:16" x14ac:dyDescent="0.45">
      <c r="C81" s="3" t="s">
        <v>61</v>
      </c>
      <c r="D81" s="9">
        <v>75085</v>
      </c>
      <c r="E81">
        <v>10</v>
      </c>
      <c r="K81" s="11" t="s">
        <v>62</v>
      </c>
      <c r="L81" s="11">
        <v>70000</v>
      </c>
      <c r="M81" s="12">
        <v>0.1</v>
      </c>
      <c r="O81" s="3">
        <v>70000</v>
      </c>
      <c r="P81" s="4">
        <v>0.12</v>
      </c>
    </row>
    <row r="82" spans="3:16" x14ac:dyDescent="0.45">
      <c r="C82" s="3" t="s">
        <v>63</v>
      </c>
      <c r="D82" s="9">
        <v>15574</v>
      </c>
      <c r="E82">
        <v>5</v>
      </c>
    </row>
    <row r="83" spans="3:16" x14ac:dyDescent="0.45">
      <c r="C83" s="3" t="s">
        <v>64</v>
      </c>
      <c r="D83" s="9">
        <v>89499</v>
      </c>
      <c r="E83">
        <v>10</v>
      </c>
    </row>
  </sheetData>
  <mergeCells count="11">
    <mergeCell ref="C51:G51"/>
    <mergeCell ref="C58:I58"/>
    <mergeCell ref="C66:I66"/>
    <mergeCell ref="K75:M75"/>
    <mergeCell ref="O75:P75"/>
    <mergeCell ref="C46:G46"/>
    <mergeCell ref="C2:I2"/>
    <mergeCell ref="C15:I15"/>
    <mergeCell ref="C32:I32"/>
    <mergeCell ref="C36:F36"/>
    <mergeCell ref="C40:G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2021-10-24T06:40:46Z</dcterms:modified>
</cp:coreProperties>
</file>