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IVY pro school\Excel\class file\"/>
    </mc:Choice>
  </mc:AlternateContent>
  <bookViews>
    <workbookView xWindow="0" yWindow="0" windowWidth="20490" windowHeight="7680" activeTab="2"/>
  </bookViews>
  <sheets>
    <sheet name="Data Hygiene" sheetId="1" r:id="rId1"/>
    <sheet name="Number Formatting" sheetId="3" r:id="rId2"/>
    <sheet name="Sheet1" sheetId="4" r:id="rId3"/>
    <sheet name="Table Formatting" sheetId="2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" i="4" s="1"/>
  <c r="A4" i="4" s="1"/>
  <c r="A5" i="4" s="1"/>
  <c r="A6" i="4" s="1"/>
  <c r="A7" i="4" s="1"/>
  <c r="A9" i="4"/>
  <c r="A10" i="4"/>
  <c r="A11" i="4" s="1"/>
  <c r="A12" i="4" s="1"/>
  <c r="A13" i="4" s="1"/>
  <c r="A14" i="4" s="1"/>
  <c r="A15" i="4" s="1"/>
  <c r="A16" i="4" s="1"/>
  <c r="A17" i="4" s="1"/>
  <c r="A19" i="4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G26" i="1" l="1"/>
  <c r="F26" i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3" i="1"/>
  <c r="H4" i="1" s="1"/>
  <c r="H5" i="1" s="1"/>
  <c r="H6" i="1" s="1"/>
  <c r="H7" i="1" s="1"/>
  <c r="H8" i="1" s="1"/>
  <c r="H9" i="1" s="1"/>
</calcChain>
</file>

<file path=xl/sharedStrings.xml><?xml version="1.0" encoding="utf-8"?>
<sst xmlns="http://schemas.openxmlformats.org/spreadsheetml/2006/main" count="127" uniqueCount="96">
  <si>
    <t>Account No</t>
  </si>
  <si>
    <t>DATE</t>
  </si>
  <si>
    <t>TRANSACTION DETAILS</t>
  </si>
  <si>
    <t>CHQ.NO.</t>
  </si>
  <si>
    <t>VALUE DATE</t>
  </si>
  <si>
    <t>WITHDRAWAL AMT</t>
  </si>
  <si>
    <t>DEPOSIT AMT</t>
  </si>
  <si>
    <t>BALANCE AMT</t>
  </si>
  <si>
    <t>409000611074'</t>
  </si>
  <si>
    <t>TRF FROM  Indiaforensic SERVICES</t>
  </si>
  <si>
    <t>FDRL/INTERNAL FUND TRANSFE</t>
  </si>
  <si>
    <t>INDO GIBL Indiaforensic STL01071</t>
  </si>
  <si>
    <t>INDO GIBL Indiaforensic STL02071</t>
  </si>
  <si>
    <t>INDO GIBL Indiaforensic STL03071</t>
  </si>
  <si>
    <t>409000425051'</t>
  </si>
  <si>
    <t>NEFT/SBIN316054519453/Mr</t>
  </si>
  <si>
    <t>NEFT/SBIN316054795331/Mr</t>
  </si>
  <si>
    <t>NEFT/SD1279001248/DHARAMB</t>
  </si>
  <si>
    <t>NEFT/SBIN116062424445/DEE</t>
  </si>
  <si>
    <t>NEFT/MAHBH16090571628/M/s</t>
  </si>
  <si>
    <t>NEFT/SD1290309312/VIDYART</t>
  </si>
  <si>
    <t>NEFT/BARBH16098696964/MOT</t>
  </si>
  <si>
    <t>NEFT/SAA33261155/SANJEET</t>
  </si>
  <si>
    <t>NEFT/BKIDN16104834588/KAV</t>
  </si>
  <si>
    <t>NEFT/CBINH16107289293/M S</t>
  </si>
  <si>
    <t>NEFT/BKIDN16111600591/KRI</t>
  </si>
  <si>
    <t>NEFT/STBP916112924171/UNI</t>
  </si>
  <si>
    <t>NEFT/SD1293975857/JAI RAM</t>
  </si>
  <si>
    <t>NEFT/SBIN116116210635/PAD</t>
  </si>
  <si>
    <t>NEFT/BKIDN16126554823/NAS</t>
  </si>
  <si>
    <t>TRANSACTION DETAILS - BANDHAN BANK</t>
  </si>
  <si>
    <t>No Withdrwal this Month</t>
  </si>
  <si>
    <t>Total</t>
  </si>
  <si>
    <t>Selected Metals Data</t>
  </si>
  <si>
    <t>Month</t>
  </si>
  <si>
    <r>
      <rPr>
        <b/>
        <sz val="11"/>
        <color theme="1"/>
        <rFont val="Calibri"/>
        <family val="2"/>
      </rPr>
      <t>Gold ( $ / oz)</t>
    </r>
  </si>
  <si>
    <t>Silver ( c / oz )</t>
  </si>
  <si>
    <t>Copper ( c / lb )</t>
  </si>
  <si>
    <t>Ctrl+;</t>
  </si>
  <si>
    <t>today's date</t>
  </si>
  <si>
    <t>Date</t>
  </si>
  <si>
    <t>Is a sequence number since 30-Dec-1899 in Google Sheet</t>
  </si>
  <si>
    <t>Time</t>
  </si>
  <si>
    <t>Fractional value between 0 and 1. Eg: 0 represents 12:00 am, 0.5 represents 12:00 PM (NOON)</t>
  </si>
  <si>
    <t>Magical Combination: Ctrl+Shift</t>
  </si>
  <si>
    <t>Ctr+;</t>
  </si>
  <si>
    <t>Current date</t>
  </si>
  <si>
    <t>Ctr+Shift+:</t>
  </si>
  <si>
    <t>Current time</t>
  </si>
  <si>
    <t>Ctr+Shift+~</t>
  </si>
  <si>
    <t>General format</t>
  </si>
  <si>
    <t>Ctrl+Shift+!</t>
  </si>
  <si>
    <t>Number format</t>
  </si>
  <si>
    <t>Ctrl+Shift+@</t>
  </si>
  <si>
    <t>Time format</t>
  </si>
  <si>
    <t>Ctlr+Shift+#</t>
  </si>
  <si>
    <t>Date format</t>
  </si>
  <si>
    <t>Ctrl+Shift+$</t>
  </si>
  <si>
    <t>Currency format</t>
  </si>
  <si>
    <t>Ctrl+Shift+%</t>
  </si>
  <si>
    <t>Percentage format</t>
  </si>
  <si>
    <t>Ctrl+Shift+^</t>
  </si>
  <si>
    <t>Scientific format</t>
  </si>
  <si>
    <t>01.01.2005</t>
  </si>
  <si>
    <t>01.02.2005</t>
  </si>
  <si>
    <t>01.03.2005</t>
  </si>
  <si>
    <t>01.04.2005</t>
  </si>
  <si>
    <t>01.05.2005</t>
  </si>
  <si>
    <t>01.06.2005</t>
  </si>
  <si>
    <t>01.07.2005</t>
  </si>
  <si>
    <t>01.08.2005</t>
  </si>
  <si>
    <t>01.09.2005</t>
  </si>
  <si>
    <t>01.10.2005</t>
  </si>
  <si>
    <t>01.11.2005</t>
  </si>
  <si>
    <t>01.12.2005</t>
  </si>
  <si>
    <t>Format the columns below:</t>
  </si>
  <si>
    <t>Percentage</t>
  </si>
  <si>
    <t>Date1</t>
  </si>
  <si>
    <t>Date2</t>
  </si>
  <si>
    <t>Currency</t>
  </si>
  <si>
    <t>Number</t>
  </si>
  <si>
    <t>235</t>
  </si>
  <si>
    <t>8865</t>
  </si>
  <si>
    <t>98623</t>
  </si>
  <si>
    <t>3456</t>
  </si>
  <si>
    <t>23478</t>
  </si>
  <si>
    <t>232</t>
  </si>
  <si>
    <t>456</t>
  </si>
  <si>
    <t>Date3</t>
  </si>
  <si>
    <t>9/21/2001</t>
  </si>
  <si>
    <t>10/29/2001</t>
  </si>
  <si>
    <t>11/16/2001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</si>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</sst>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0.000%"/>
    <numFmt numFmtId="166" formatCode="0.000"/>
    <numFmt numFmtId="167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164" fontId="3" fillId="0" borderId="0" xfId="1" applyNumberFormat="1" applyFont="1"/>
    <xf numFmtId="0" fontId="0" fillId="0" borderId="0" xfId="0" quotePrefix="1"/>
    <xf numFmtId="15" fontId="5" fillId="0" borderId="0" xfId="0" applyNumberFormat="1" applyFont="1" applyAlignment="1">
      <alignment vertical="center"/>
    </xf>
    <xf numFmtId="15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0" fillId="0" borderId="0" xfId="0" quotePrefix="1" applyAlignment="1">
      <alignment horizontal="center" vertical="center"/>
    </xf>
    <xf numFmtId="0" fontId="2" fillId="0" borderId="0" xfId="0" applyFont="1"/>
    <xf numFmtId="164" fontId="3" fillId="2" borderId="0" xfId="0" applyNumberFormat="1" applyFont="1" applyFill="1"/>
    <xf numFmtId="165" fontId="0" fillId="0" borderId="0" xfId="2" applyNumberFormat="1" applyFont="1"/>
    <xf numFmtId="17" fontId="7" fillId="0" borderId="0" xfId="0" applyNumberFormat="1" applyFont="1"/>
    <xf numFmtId="4" fontId="7" fillId="0" borderId="0" xfId="0" applyNumberFormat="1" applyFont="1"/>
    <xf numFmtId="0" fontId="1" fillId="0" borderId="0" xfId="0" applyFont="1"/>
    <xf numFmtId="0" fontId="7" fillId="0" borderId="0" xfId="0" applyFont="1"/>
    <xf numFmtId="14" fontId="1" fillId="0" borderId="0" xfId="0" applyNumberFormat="1" applyFont="1"/>
    <xf numFmtId="14" fontId="7" fillId="0" borderId="0" xfId="0" applyNumberFormat="1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  <xf numFmtId="0" fontId="9" fillId="0" borderId="0" xfId="0" applyFont="1"/>
    <xf numFmtId="4" fontId="9" fillId="0" borderId="0" xfId="0" applyNumberFormat="1" applyFont="1"/>
    <xf numFmtId="15" fontId="9" fillId="0" borderId="0" xfId="0" applyNumberFormat="1" applyFont="1"/>
    <xf numFmtId="8" fontId="9" fillId="0" borderId="0" xfId="0" applyNumberFormat="1" applyFont="1"/>
    <xf numFmtId="9" fontId="9" fillId="0" borderId="0" xfId="0" applyNumberFormat="1" applyFont="1"/>
    <xf numFmtId="11" fontId="0" fillId="0" borderId="0" xfId="0" applyNumberFormat="1"/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vertical="center"/>
    </xf>
  </cellXfs>
  <cellStyles count="5">
    <cellStyle name="Comma" xfId="1" builtinId="3"/>
    <cellStyle name="Hyperlink 2" xfId="3"/>
    <cellStyle name="Normal" xfId="0" builtinId="0"/>
    <cellStyle name="Normal 2 3" xfId="4"/>
    <cellStyle name="Percent" xfId="2" builtinId="5"/>
  </cellStyles>
  <dxfs count="5"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Outline-style" pivot="0" count="2">
      <tableStyleElement type="firstRowStripe" dxfId="4"/>
      <tableStyleElement type="secondRowStripe" dxfId="3"/>
    </tableStyle>
    <tableStyle name="Referencing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10</xdr:col>
      <xdr:colOff>330374</xdr:colOff>
      <xdr:row>16</xdr:row>
      <xdr:rowOff>158896</xdr:rowOff>
    </xdr:to>
    <xdr:pic>
      <xdr:nvPicPr>
        <xdr:cNvPr id="3" name="Picture 2" descr="A table with numbers and a yellow background&#10;&#10;Description automatically generated">
          <a:extLst>
            <a:ext uri="{FF2B5EF4-FFF2-40B4-BE49-F238E27FC236}">
              <a16:creationId xmlns:a16="http://schemas.microsoft.com/office/drawing/2014/main" id="{DD53AB10-3C45-CEB0-707F-0751DA836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7350" y="177800"/>
          <a:ext cx="3378374" cy="2838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2" workbookViewId="0">
      <selection activeCell="A8" sqref="A8"/>
    </sheetView>
  </sheetViews>
  <sheetFormatPr defaultRowHeight="14.25"/>
  <cols>
    <col min="1" max="1" width="14.625" customWidth="1"/>
    <col min="2" max="2" width="9.125" bestFit="1" customWidth="1"/>
    <col min="5" max="5" width="10.875" bestFit="1" customWidth="1"/>
    <col min="6" max="6" width="17.625" bestFit="1" customWidth="1"/>
    <col min="7" max="7" width="13.125" bestFit="1" customWidth="1"/>
    <col min="8" max="8" width="12.625" bestFit="1" customWidth="1"/>
  </cols>
  <sheetData>
    <row r="1" spans="1:9" ht="15">
      <c r="A1" s="33" t="s">
        <v>30</v>
      </c>
      <c r="B1" s="33"/>
      <c r="C1" s="33"/>
      <c r="D1" s="33"/>
      <c r="E1" s="33"/>
      <c r="F1" s="33"/>
      <c r="G1" s="33"/>
      <c r="H1" s="33"/>
    </row>
    <row r="2" spans="1:9" ht="1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3" t="s">
        <v>5</v>
      </c>
      <c r="G2" s="3" t="s">
        <v>6</v>
      </c>
      <c r="H2" s="1" t="s">
        <v>7</v>
      </c>
    </row>
    <row r="3" spans="1:9" ht="15">
      <c r="A3" s="36" t="s">
        <v>8</v>
      </c>
      <c r="B3" s="5">
        <v>42915</v>
      </c>
      <c r="C3" t="s">
        <v>9</v>
      </c>
      <c r="E3" s="6">
        <v>42915</v>
      </c>
      <c r="F3" s="7"/>
      <c r="G3" s="7">
        <v>1000000</v>
      </c>
      <c r="H3" s="8">
        <f>G3</f>
        <v>1000000</v>
      </c>
    </row>
    <row r="4" spans="1:9" ht="15">
      <c r="A4" s="36" t="s">
        <v>8</v>
      </c>
      <c r="B4" s="5">
        <v>42921</v>
      </c>
      <c r="C4" t="s">
        <v>9</v>
      </c>
      <c r="E4" s="6">
        <v>42921</v>
      </c>
      <c r="F4" s="7"/>
      <c r="G4" s="7">
        <v>1000000</v>
      </c>
      <c r="H4" s="9">
        <f>H3+G4-F4</f>
        <v>2000000</v>
      </c>
    </row>
    <row r="5" spans="1:9" ht="15">
      <c r="A5" s="36" t="s">
        <v>8</v>
      </c>
      <c r="B5" s="5">
        <v>42934</v>
      </c>
      <c r="C5" t="s">
        <v>10</v>
      </c>
      <c r="E5" s="6">
        <v>42934</v>
      </c>
      <c r="F5" s="7"/>
      <c r="G5" s="7">
        <v>500000</v>
      </c>
      <c r="H5" s="9">
        <f>H4+G5-F5</f>
        <v>2500000</v>
      </c>
    </row>
    <row r="6" spans="1:9" ht="15">
      <c r="A6" s="36" t="s">
        <v>8</v>
      </c>
      <c r="B6" s="5">
        <v>42963</v>
      </c>
      <c r="C6" t="s">
        <v>10</v>
      </c>
      <c r="E6" s="6">
        <v>42963</v>
      </c>
      <c r="F6" s="7"/>
      <c r="G6" s="7">
        <v>500000</v>
      </c>
      <c r="H6" s="9">
        <f>H5+G6-F6</f>
        <v>3000000</v>
      </c>
    </row>
    <row r="7" spans="1:9" ht="15">
      <c r="A7" s="36" t="s">
        <v>8</v>
      </c>
      <c r="B7" s="5">
        <v>42963</v>
      </c>
      <c r="C7" t="s">
        <v>11</v>
      </c>
      <c r="E7" s="6">
        <v>42963</v>
      </c>
      <c r="F7" s="7">
        <v>133900</v>
      </c>
      <c r="G7" s="7"/>
      <c r="H7" s="9">
        <f>H6+G7-F7</f>
        <v>2866100</v>
      </c>
    </row>
    <row r="8" spans="1:9" ht="15">
      <c r="A8" s="36" t="s">
        <v>8</v>
      </c>
      <c r="B8" s="5">
        <v>42963</v>
      </c>
      <c r="C8" t="s">
        <v>12</v>
      </c>
      <c r="E8" s="6">
        <v>42963</v>
      </c>
      <c r="F8" s="7">
        <v>18000</v>
      </c>
      <c r="G8" s="7"/>
      <c r="H8" s="9">
        <f t="shared" ref="H8:H25" si="0">H7+G8-F8</f>
        <v>2848100</v>
      </c>
    </row>
    <row r="9" spans="1:9" ht="15">
      <c r="A9" s="36" t="s">
        <v>8</v>
      </c>
      <c r="B9" s="5">
        <v>42963</v>
      </c>
      <c r="C9" t="s">
        <v>13</v>
      </c>
      <c r="E9" s="6">
        <v>42963</v>
      </c>
      <c r="F9" s="7">
        <v>5000</v>
      </c>
      <c r="G9" s="7"/>
      <c r="H9" s="9">
        <f t="shared" si="0"/>
        <v>2843100</v>
      </c>
    </row>
    <row r="10" spans="1:9" ht="15">
      <c r="A10" s="10"/>
      <c r="B10" s="5"/>
      <c r="E10" s="6"/>
      <c r="F10" s="7"/>
      <c r="G10" s="7"/>
      <c r="H10" s="9"/>
    </row>
    <row r="11" spans="1:9" ht="15">
      <c r="A11" s="36" t="s">
        <v>14</v>
      </c>
      <c r="B11" s="5">
        <v>42423</v>
      </c>
      <c r="C11" t="s">
        <v>15</v>
      </c>
      <c r="E11" s="6">
        <v>42423</v>
      </c>
      <c r="F11" s="7"/>
      <c r="G11" s="7">
        <v>21000</v>
      </c>
      <c r="H11" s="9">
        <f>G11</f>
        <v>21000</v>
      </c>
    </row>
    <row r="12" spans="1:9" ht="15">
      <c r="A12" s="36" t="s">
        <v>14</v>
      </c>
      <c r="B12" s="5">
        <v>42423</v>
      </c>
      <c r="C12" t="s">
        <v>16</v>
      </c>
      <c r="E12" s="6">
        <v>42423</v>
      </c>
      <c r="F12" s="7"/>
      <c r="G12" s="7">
        <v>1000</v>
      </c>
      <c r="H12" s="9">
        <f t="shared" si="0"/>
        <v>22000</v>
      </c>
    </row>
    <row r="13" spans="1:9" ht="15">
      <c r="A13" s="36" t="s">
        <v>14</v>
      </c>
      <c r="B13" s="5">
        <v>42429</v>
      </c>
      <c r="C13" t="s">
        <v>17</v>
      </c>
      <c r="E13" s="6">
        <v>42429</v>
      </c>
      <c r="F13" s="7"/>
      <c r="G13" s="7">
        <v>21000</v>
      </c>
      <c r="H13" s="9">
        <f t="shared" si="0"/>
        <v>43000</v>
      </c>
    </row>
    <row r="14" spans="1:9" ht="15">
      <c r="A14" s="36" t="s">
        <v>14</v>
      </c>
      <c r="B14" s="5">
        <v>42431</v>
      </c>
      <c r="C14" t="s">
        <v>18</v>
      </c>
      <c r="E14" s="6">
        <v>42431</v>
      </c>
      <c r="F14" s="7"/>
      <c r="G14" s="7">
        <v>21000</v>
      </c>
      <c r="H14" s="9">
        <f t="shared" si="0"/>
        <v>64000</v>
      </c>
    </row>
    <row r="15" spans="1:9" ht="15">
      <c r="A15" s="36" t="s">
        <v>14</v>
      </c>
      <c r="B15" s="5">
        <v>42459</v>
      </c>
      <c r="C15" t="s">
        <v>19</v>
      </c>
      <c r="E15" s="6">
        <v>42459</v>
      </c>
      <c r="F15" s="7"/>
      <c r="G15" s="7">
        <v>20000</v>
      </c>
      <c r="H15" s="9">
        <f t="shared" si="0"/>
        <v>84000</v>
      </c>
    </row>
    <row r="16" spans="1:9" ht="15">
      <c r="A16" s="36" t="s">
        <v>14</v>
      </c>
      <c r="B16" s="5">
        <v>42466</v>
      </c>
      <c r="C16" t="s">
        <v>20</v>
      </c>
      <c r="E16" s="6">
        <v>42466</v>
      </c>
      <c r="F16" s="7"/>
      <c r="G16" s="7">
        <v>1000</v>
      </c>
      <c r="H16" s="9">
        <f t="shared" si="0"/>
        <v>85000</v>
      </c>
      <c r="I16" s="11" t="s">
        <v>31</v>
      </c>
    </row>
    <row r="17" spans="1:8" ht="15">
      <c r="A17" s="36" t="s">
        <v>14</v>
      </c>
      <c r="B17" s="5">
        <v>42467</v>
      </c>
      <c r="C17" t="s">
        <v>21</v>
      </c>
      <c r="E17" s="6">
        <v>42467</v>
      </c>
      <c r="F17" s="7"/>
      <c r="G17" s="7">
        <v>1000</v>
      </c>
      <c r="H17" s="9">
        <f t="shared" si="0"/>
        <v>86000</v>
      </c>
    </row>
    <row r="18" spans="1:8" ht="15">
      <c r="A18" s="36" t="s">
        <v>14</v>
      </c>
      <c r="B18" s="5">
        <v>42468</v>
      </c>
      <c r="C18" t="s">
        <v>22</v>
      </c>
      <c r="E18" s="6">
        <v>42468</v>
      </c>
      <c r="F18" s="7"/>
      <c r="G18" s="7">
        <v>1000</v>
      </c>
      <c r="H18" s="9">
        <f t="shared" si="0"/>
        <v>87000</v>
      </c>
    </row>
    <row r="19" spans="1:8" ht="15">
      <c r="A19" s="36" t="s">
        <v>14</v>
      </c>
      <c r="B19" s="5">
        <v>42473</v>
      </c>
      <c r="C19" t="s">
        <v>23</v>
      </c>
      <c r="E19" s="6">
        <v>42473</v>
      </c>
      <c r="F19" s="7"/>
      <c r="G19" s="7">
        <v>21000</v>
      </c>
      <c r="H19" s="9">
        <f t="shared" si="0"/>
        <v>108000</v>
      </c>
    </row>
    <row r="20" spans="1:8" ht="15">
      <c r="A20" s="36" t="s">
        <v>14</v>
      </c>
      <c r="B20" s="5">
        <v>42476</v>
      </c>
      <c r="C20" t="s">
        <v>24</v>
      </c>
      <c r="E20" s="6">
        <v>42476</v>
      </c>
      <c r="F20" s="7"/>
      <c r="G20" s="7">
        <v>1000</v>
      </c>
      <c r="H20" s="9">
        <f t="shared" si="0"/>
        <v>109000</v>
      </c>
    </row>
    <row r="21" spans="1:8" ht="15">
      <c r="A21" s="36" t="s">
        <v>14</v>
      </c>
      <c r="B21" s="5">
        <v>42480</v>
      </c>
      <c r="C21" t="s">
        <v>25</v>
      </c>
      <c r="E21" s="6">
        <v>42480</v>
      </c>
      <c r="F21" s="7"/>
      <c r="G21" s="7">
        <v>1000</v>
      </c>
      <c r="H21" s="9">
        <f t="shared" si="0"/>
        <v>110000</v>
      </c>
    </row>
    <row r="22" spans="1:8" ht="15">
      <c r="A22" s="36" t="s">
        <v>14</v>
      </c>
      <c r="B22" s="5">
        <v>42481</v>
      </c>
      <c r="C22" t="s">
        <v>26</v>
      </c>
      <c r="E22" s="6">
        <v>42481</v>
      </c>
      <c r="F22" s="7"/>
      <c r="G22" s="7">
        <v>1000</v>
      </c>
      <c r="H22" s="9">
        <f t="shared" si="0"/>
        <v>111000</v>
      </c>
    </row>
    <row r="23" spans="1:8" ht="15">
      <c r="A23" s="36" t="s">
        <v>14</v>
      </c>
      <c r="B23" s="5">
        <v>42485</v>
      </c>
      <c r="C23" t="s">
        <v>27</v>
      </c>
      <c r="E23" s="6">
        <v>42485</v>
      </c>
      <c r="F23" s="7"/>
      <c r="G23" s="7">
        <v>1000</v>
      </c>
      <c r="H23" s="9">
        <f t="shared" si="0"/>
        <v>112000</v>
      </c>
    </row>
    <row r="24" spans="1:8" ht="15">
      <c r="A24" s="36" t="s">
        <v>14</v>
      </c>
      <c r="B24" s="5">
        <v>42485</v>
      </c>
      <c r="C24" t="s">
        <v>28</v>
      </c>
      <c r="E24" s="6">
        <v>42485</v>
      </c>
      <c r="F24" s="7"/>
      <c r="G24" s="7">
        <v>21000</v>
      </c>
      <c r="H24" s="9">
        <f t="shared" si="0"/>
        <v>133000</v>
      </c>
    </row>
    <row r="25" spans="1:8" ht="15">
      <c r="A25" s="36" t="s">
        <v>14</v>
      </c>
      <c r="B25" s="5">
        <v>42495</v>
      </c>
      <c r="C25" t="s">
        <v>29</v>
      </c>
      <c r="E25" s="6">
        <v>42495</v>
      </c>
      <c r="F25" s="7"/>
      <c r="G25" s="7">
        <v>21000</v>
      </c>
      <c r="H25" s="9">
        <f t="shared" si="0"/>
        <v>154000</v>
      </c>
    </row>
    <row r="26" spans="1:8" ht="15">
      <c r="E26" t="s">
        <v>32</v>
      </c>
      <c r="F26" s="12">
        <f>SUM(F3:F25)</f>
        <v>156900</v>
      </c>
      <c r="G26" s="12">
        <f>SUM(G3:G25)</f>
        <v>3154000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19" workbookViewId="0">
      <selection activeCell="G25" sqref="G25"/>
    </sheetView>
  </sheetViews>
  <sheetFormatPr defaultRowHeight="14.25"/>
  <cols>
    <col min="1" max="1" width="27.625" bestFit="1" customWidth="1"/>
    <col min="2" max="2" width="16.125" bestFit="1" customWidth="1"/>
    <col min="3" max="3" width="10.5" bestFit="1" customWidth="1"/>
    <col min="6" max="6" width="17.125" customWidth="1"/>
  </cols>
  <sheetData>
    <row r="1" spans="1:7" ht="14.25" customHeight="1">
      <c r="A1" s="15">
        <v>44805</v>
      </c>
      <c r="B1" s="16" t="s">
        <v>38</v>
      </c>
      <c r="C1" s="16" t="s">
        <v>39</v>
      </c>
    </row>
    <row r="2" spans="1:7" ht="14.25" customHeight="1">
      <c r="A2" s="17"/>
      <c r="F2" s="1" t="s">
        <v>40</v>
      </c>
      <c r="G2" s="16" t="s">
        <v>41</v>
      </c>
    </row>
    <row r="3" spans="1:7" ht="14.25" customHeight="1">
      <c r="A3" s="14">
        <v>29944</v>
      </c>
      <c r="B3" s="18">
        <v>44804</v>
      </c>
      <c r="F3" s="1" t="s">
        <v>42</v>
      </c>
      <c r="G3" s="16" t="s">
        <v>43</v>
      </c>
    </row>
    <row r="4" spans="1:7" ht="14.25" customHeight="1">
      <c r="A4" s="19">
        <v>0</v>
      </c>
    </row>
    <row r="5" spans="1:7" ht="14.25" customHeight="1">
      <c r="A5" s="14"/>
    </row>
    <row r="6" spans="1:7" ht="14.25" customHeight="1">
      <c r="A6" s="20" t="s">
        <v>44</v>
      </c>
    </row>
    <row r="7" spans="1:7" ht="14.25" customHeight="1">
      <c r="A7" s="14"/>
    </row>
    <row r="8" spans="1:7" ht="14.25" customHeight="1">
      <c r="A8" s="17" t="s">
        <v>45</v>
      </c>
      <c r="B8" s="16" t="s">
        <v>46</v>
      </c>
      <c r="C8" s="21">
        <v>45224</v>
      </c>
      <c r="D8" s="21">
        <v>45224</v>
      </c>
      <c r="E8" s="22">
        <v>0.44791666666666669</v>
      </c>
    </row>
    <row r="9" spans="1:7" ht="14.25" customHeight="1">
      <c r="A9" s="17" t="s">
        <v>47</v>
      </c>
      <c r="B9" s="16" t="s">
        <v>48</v>
      </c>
      <c r="C9" s="22">
        <v>0.44791666666666669</v>
      </c>
    </row>
    <row r="10" spans="1:7" ht="14.25" customHeight="1">
      <c r="A10" s="23" t="s">
        <v>49</v>
      </c>
      <c r="B10" s="24" t="s">
        <v>50</v>
      </c>
      <c r="C10" s="24">
        <v>38687</v>
      </c>
    </row>
    <row r="11" spans="1:7" ht="14.25" customHeight="1">
      <c r="A11" s="24" t="s">
        <v>51</v>
      </c>
      <c r="B11" s="24" t="s">
        <v>52</v>
      </c>
      <c r="C11" s="25">
        <v>38687</v>
      </c>
    </row>
    <row r="12" spans="1:7" ht="14.25" customHeight="1">
      <c r="A12" s="16" t="s">
        <v>53</v>
      </c>
      <c r="B12" s="16" t="s">
        <v>54</v>
      </c>
      <c r="C12">
        <v>0.75</v>
      </c>
    </row>
    <row r="13" spans="1:7" ht="14.25" customHeight="1">
      <c r="A13" s="24" t="s">
        <v>55</v>
      </c>
      <c r="B13" s="24" t="s">
        <v>56</v>
      </c>
      <c r="C13" s="26">
        <v>38687</v>
      </c>
    </row>
    <row r="14" spans="1:7" ht="14.25" customHeight="1">
      <c r="A14" s="24" t="s">
        <v>57</v>
      </c>
      <c r="B14" s="24" t="s">
        <v>58</v>
      </c>
      <c r="C14" s="27">
        <v>38687</v>
      </c>
    </row>
    <row r="15" spans="1:7" ht="14.25" customHeight="1">
      <c r="A15" s="24" t="s">
        <v>59</v>
      </c>
      <c r="B15" s="24" t="s">
        <v>60</v>
      </c>
      <c r="C15" s="28">
        <v>0.45</v>
      </c>
    </row>
    <row r="16" spans="1:7" ht="14.25" customHeight="1">
      <c r="A16" s="16" t="s">
        <v>61</v>
      </c>
      <c r="B16" s="16" t="s">
        <v>62</v>
      </c>
      <c r="C16" s="29">
        <v>38687</v>
      </c>
    </row>
    <row r="20" spans="1:6">
      <c r="A20" t="s">
        <v>75</v>
      </c>
    </row>
    <row r="22" spans="1:6">
      <c r="A22" t="s">
        <v>77</v>
      </c>
      <c r="B22" t="s">
        <v>78</v>
      </c>
      <c r="C22" t="s">
        <v>76</v>
      </c>
      <c r="D22" t="s">
        <v>79</v>
      </c>
      <c r="E22" t="s">
        <v>80</v>
      </c>
      <c r="F22" t="s">
        <v>88</v>
      </c>
    </row>
    <row r="23" spans="1:6">
      <c r="A23" s="30" t="s">
        <v>63</v>
      </c>
      <c r="B23">
        <v>46484</v>
      </c>
      <c r="C23">
        <v>6.5382673414146386E-2</v>
      </c>
      <c r="D23">
        <v>1317</v>
      </c>
      <c r="E23" s="4" t="s">
        <v>81</v>
      </c>
      <c r="F23" t="s">
        <v>89</v>
      </c>
    </row>
    <row r="24" spans="1:6">
      <c r="A24" s="30" t="s">
        <v>64</v>
      </c>
      <c r="B24">
        <v>46030</v>
      </c>
      <c r="C24">
        <v>0.34906884371368518</v>
      </c>
      <c r="D24">
        <v>3252</v>
      </c>
      <c r="E24" s="4" t="s">
        <v>82</v>
      </c>
      <c r="F24" s="21">
        <v>37023</v>
      </c>
    </row>
    <row r="25" spans="1:6">
      <c r="A25" s="30" t="s">
        <v>65</v>
      </c>
      <c r="B25">
        <v>46709</v>
      </c>
      <c r="C25">
        <v>2.7711396355696971E-2</v>
      </c>
      <c r="D25">
        <v>3642</v>
      </c>
      <c r="E25" s="4" t="s">
        <v>83</v>
      </c>
      <c r="F25" t="s">
        <v>90</v>
      </c>
    </row>
    <row r="26" spans="1:6">
      <c r="A26" s="30" t="s">
        <v>66</v>
      </c>
      <c r="B26">
        <v>46216</v>
      </c>
      <c r="C26">
        <v>0.70325263904517832</v>
      </c>
      <c r="D26">
        <v>3203</v>
      </c>
      <c r="E26" s="4" t="s">
        <v>84</v>
      </c>
      <c r="F26" t="s">
        <v>91</v>
      </c>
    </row>
    <row r="27" spans="1:6">
      <c r="A27" s="30" t="s">
        <v>67</v>
      </c>
      <c r="B27">
        <v>46244</v>
      </c>
      <c r="C27">
        <v>0.25120733426615371</v>
      </c>
      <c r="D27">
        <v>4117</v>
      </c>
      <c r="E27" s="4" t="s">
        <v>85</v>
      </c>
      <c r="F27" t="s">
        <v>91</v>
      </c>
    </row>
    <row r="28" spans="1:6">
      <c r="A28" s="30" t="s">
        <v>68</v>
      </c>
      <c r="B28">
        <v>46407</v>
      </c>
      <c r="C28">
        <v>0.5832465659561602</v>
      </c>
      <c r="D28">
        <v>3152</v>
      </c>
      <c r="E28" s="4" t="s">
        <v>86</v>
      </c>
      <c r="F28" s="21">
        <v>37084</v>
      </c>
    </row>
    <row r="29" spans="1:6">
      <c r="A29" s="30" t="s">
        <v>69</v>
      </c>
      <c r="B29">
        <v>46470</v>
      </c>
      <c r="C29">
        <v>0.79344744006125612</v>
      </c>
      <c r="D29">
        <v>2493</v>
      </c>
      <c r="E29" s="4" t="s">
        <v>87</v>
      </c>
    </row>
    <row r="30" spans="1:6">
      <c r="A30" s="30" t="s">
        <v>70</v>
      </c>
      <c r="B30">
        <v>46061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workbookViewId="0">
      <selection activeCell="A2" sqref="A2:A7 A9:A17 A19:A33"/>
    </sheetView>
  </sheetViews>
  <sheetFormatPr defaultRowHeight="14.25"/>
  <cols>
    <col min="1" max="1" width="26.375" customWidth="1"/>
  </cols>
  <sheetData>
    <row r="1" spans="1:1">
      <c r="A1" t="s">
        <v>92</v>
      </c>
    </row>
    <row r="2" spans="1:1">
      <c r="A2" t="str">
        <f t="shared" ref="A2:A7" si="0">A1</f>
        <v>A</v>
      </c>
    </row>
    <row r="3" spans="1:1">
      <c r="A3" t="str">
        <f t="shared" si="0"/>
        <v>A</v>
      </c>
    </row>
    <row r="4" spans="1:1">
      <c r="A4" t="str">
        <f t="shared" si="0"/>
        <v>A</v>
      </c>
    </row>
    <row r="5" spans="1:1">
      <c r="A5" t="str">
        <f t="shared" si="0"/>
        <v>A</v>
      </c>
    </row>
    <row r="6" spans="1:1">
      <c r="A6" t="str">
        <f t="shared" si="0"/>
        <v>A</v>
      </c>
    </row>
    <row r="7" spans="1:1">
      <c r="A7" t="str">
        <f t="shared" si="0"/>
        <v>A</v>
      </c>
    </row>
    <row r="8" spans="1:1">
      <c r="A8" t="s">
        <v>93</v>
      </c>
    </row>
    <row r="9" spans="1:1">
      <c r="A9" t="str">
        <f t="shared" ref="A9:A17" si="1">A8</f>
        <v>B</v>
      </c>
    </row>
    <row r="10" spans="1:1">
      <c r="A10" t="str">
        <f t="shared" si="1"/>
        <v>B</v>
      </c>
    </row>
    <row r="11" spans="1:1">
      <c r="A11" t="str">
        <f t="shared" si="1"/>
        <v>B</v>
      </c>
    </row>
    <row r="12" spans="1:1">
      <c r="A12" t="str">
        <f t="shared" si="1"/>
        <v>B</v>
      </c>
    </row>
    <row r="13" spans="1:1">
      <c r="A13" t="str">
        <f t="shared" si="1"/>
        <v>B</v>
      </c>
    </row>
    <row r="14" spans="1:1">
      <c r="A14" t="str">
        <f t="shared" si="1"/>
        <v>B</v>
      </c>
    </row>
    <row r="15" spans="1:1">
      <c r="A15" t="str">
        <f t="shared" si="1"/>
        <v>B</v>
      </c>
    </row>
    <row r="16" spans="1:1">
      <c r="A16" t="str">
        <f t="shared" si="1"/>
        <v>B</v>
      </c>
    </row>
    <row r="17" spans="1:1">
      <c r="A17" t="str">
        <f t="shared" si="1"/>
        <v>B</v>
      </c>
    </row>
    <row r="18" spans="1:1">
      <c r="A18" t="s">
        <v>94</v>
      </c>
    </row>
    <row r="19" spans="1:1">
      <c r="A19" t="str">
        <f t="shared" ref="A19:A33" si="2">A18</f>
        <v>C</v>
      </c>
    </row>
    <row r="20" spans="1:1">
      <c r="A20" t="str">
        <f t="shared" si="2"/>
        <v>C</v>
      </c>
    </row>
    <row r="21" spans="1:1">
      <c r="A21" t="str">
        <f t="shared" si="2"/>
        <v>C</v>
      </c>
    </row>
    <row r="22" spans="1:1">
      <c r="A22" t="str">
        <f t="shared" si="2"/>
        <v>C</v>
      </c>
    </row>
    <row r="23" spans="1:1">
      <c r="A23" t="str">
        <f t="shared" si="2"/>
        <v>C</v>
      </c>
    </row>
    <row r="24" spans="1:1">
      <c r="A24" t="str">
        <f t="shared" si="2"/>
        <v>C</v>
      </c>
    </row>
    <row r="25" spans="1:1">
      <c r="A25" t="str">
        <f t="shared" si="2"/>
        <v>C</v>
      </c>
    </row>
    <row r="26" spans="1:1">
      <c r="A26" t="str">
        <f t="shared" si="2"/>
        <v>C</v>
      </c>
    </row>
    <row r="27" spans="1:1">
      <c r="A27" t="str">
        <f t="shared" si="2"/>
        <v>C</v>
      </c>
    </row>
    <row r="28" spans="1:1">
      <c r="A28" t="str">
        <f t="shared" si="2"/>
        <v>C</v>
      </c>
    </row>
    <row r="29" spans="1:1">
      <c r="A29" t="str">
        <f t="shared" si="2"/>
        <v>C</v>
      </c>
    </row>
    <row r="30" spans="1:1">
      <c r="A30" t="str">
        <f t="shared" si="2"/>
        <v>C</v>
      </c>
    </row>
    <row r="31" spans="1:1">
      <c r="A31" t="str">
        <f t="shared" si="2"/>
        <v>C</v>
      </c>
    </row>
    <row r="32" spans="1:1">
      <c r="A32" t="str">
        <f t="shared" si="2"/>
        <v>C</v>
      </c>
    </row>
    <row r="33" spans="1:1">
      <c r="A33" t="str">
        <f t="shared" si="2"/>
        <v>C</v>
      </c>
    </row>
    <row r="34" spans="1:1">
      <c r="A34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C23" sqref="C23"/>
    </sheetView>
  </sheetViews>
  <sheetFormatPr defaultColWidth="14.375" defaultRowHeight="15" customHeight="1"/>
  <cols>
    <col min="1" max="3" width="12.25" customWidth="1"/>
    <col min="4" max="4" width="14.5" customWidth="1"/>
    <col min="5" max="26" width="8.625" customWidth="1"/>
  </cols>
  <sheetData>
    <row r="1" spans="1:5" ht="14.25" customHeight="1">
      <c r="A1" s="34" t="s">
        <v>33</v>
      </c>
      <c r="B1" s="34"/>
      <c r="C1" s="34"/>
      <c r="D1" s="34"/>
    </row>
    <row r="2" spans="1:5" ht="14.25" customHeight="1">
      <c r="A2" s="35"/>
      <c r="B2" s="35"/>
      <c r="C2" s="35"/>
      <c r="D2" s="35"/>
    </row>
    <row r="3" spans="1:5">
      <c r="A3" s="1" t="s">
        <v>34</v>
      </c>
      <c r="B3" s="1" t="s">
        <v>35</v>
      </c>
      <c r="C3" s="1" t="s">
        <v>36</v>
      </c>
      <c r="D3" s="1" t="s">
        <v>37</v>
      </c>
    </row>
    <row r="4" spans="1:5" ht="14.25">
      <c r="A4" s="30" t="s">
        <v>63</v>
      </c>
      <c r="B4" s="32">
        <v>424.03</v>
      </c>
      <c r="C4" s="31">
        <v>660.93</v>
      </c>
      <c r="D4" s="31">
        <v>109.93</v>
      </c>
      <c r="E4" s="13"/>
    </row>
    <row r="5" spans="1:5" ht="14.25" customHeight="1">
      <c r="A5" s="30" t="s">
        <v>64</v>
      </c>
      <c r="B5" s="32">
        <v>423.35</v>
      </c>
      <c r="C5" s="31">
        <v>703</v>
      </c>
      <c r="D5" s="31">
        <v>125.17</v>
      </c>
    </row>
    <row r="6" spans="1:5" ht="14.25" customHeight="1">
      <c r="A6" s="30" t="s">
        <v>65</v>
      </c>
      <c r="B6" s="32">
        <v>434.32</v>
      </c>
      <c r="C6" s="31">
        <v>725.61</v>
      </c>
      <c r="D6" s="31">
        <v>136.37</v>
      </c>
    </row>
    <row r="7" spans="1:5" ht="14.25" customHeight="1">
      <c r="A7" s="30" t="s">
        <v>66</v>
      </c>
      <c r="B7" s="32">
        <v>429.23</v>
      </c>
      <c r="C7" s="31">
        <v>711.88</v>
      </c>
      <c r="D7" s="31">
        <v>133.37</v>
      </c>
    </row>
    <row r="8" spans="1:5" ht="14.25" customHeight="1">
      <c r="A8" s="30" t="s">
        <v>67</v>
      </c>
      <c r="B8" s="32">
        <v>421.87</v>
      </c>
      <c r="C8" s="31">
        <v>701.71</v>
      </c>
      <c r="D8" s="31">
        <v>123.99</v>
      </c>
    </row>
    <row r="9" spans="1:5" ht="14.25" customHeight="1">
      <c r="A9" s="30" t="s">
        <v>68</v>
      </c>
      <c r="B9" s="32">
        <v>430.66</v>
      </c>
      <c r="C9" s="31">
        <v>731.05</v>
      </c>
      <c r="D9" s="31">
        <v>121.48</v>
      </c>
    </row>
    <row r="10" spans="1:5" ht="14.25" customHeight="1">
      <c r="A10" s="30" t="s">
        <v>69</v>
      </c>
      <c r="B10" s="32">
        <v>424.48</v>
      </c>
      <c r="C10" s="31">
        <v>701.45</v>
      </c>
      <c r="D10" s="31">
        <v>127.6</v>
      </c>
    </row>
    <row r="11" spans="1:5" ht="14.25" customHeight="1">
      <c r="A11" s="30" t="s">
        <v>70</v>
      </c>
      <c r="B11" s="32">
        <v>437.93</v>
      </c>
      <c r="C11" s="31">
        <v>704.19</v>
      </c>
      <c r="D11" s="31">
        <v>128.86000000000001</v>
      </c>
    </row>
    <row r="12" spans="1:5" ht="14.25" customHeight="1">
      <c r="A12" s="30" t="s">
        <v>71</v>
      </c>
      <c r="B12" s="32">
        <v>456.05</v>
      </c>
      <c r="C12" s="31">
        <v>715.36</v>
      </c>
      <c r="D12" s="31">
        <v>131.47</v>
      </c>
    </row>
    <row r="13" spans="1:5" ht="14.25" customHeight="1">
      <c r="A13" s="30" t="s">
        <v>72</v>
      </c>
      <c r="B13" s="32">
        <v>469.9</v>
      </c>
      <c r="C13" s="31">
        <v>767.05</v>
      </c>
      <c r="D13" s="31">
        <v>136.41</v>
      </c>
    </row>
    <row r="14" spans="1:5" ht="14.25" customHeight="1">
      <c r="A14" s="30" t="s">
        <v>73</v>
      </c>
      <c r="B14" s="32">
        <v>476.67</v>
      </c>
      <c r="C14" s="31">
        <v>787.25</v>
      </c>
      <c r="D14" s="31">
        <v>142.01</v>
      </c>
    </row>
    <row r="15" spans="1:5" ht="14.25" customHeight="1">
      <c r="A15" s="30" t="s">
        <v>74</v>
      </c>
      <c r="B15" s="32">
        <v>510.1</v>
      </c>
      <c r="C15" s="31">
        <v>863.98</v>
      </c>
      <c r="D15" s="31">
        <v>142.68</v>
      </c>
    </row>
    <row r="16" spans="1:5" ht="14.25" customHeight="1"/>
    <row r="17" spans="1:1" ht="14.25" customHeight="1">
      <c r="A17" s="14"/>
    </row>
    <row r="18" spans="1:1" ht="14.25" customHeight="1">
      <c r="A18" s="14"/>
    </row>
    <row r="19" spans="1:1" ht="14.25" customHeight="1">
      <c r="A19" s="14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A1:D1"/>
    <mergeCell ref="A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Hygiene</vt:lpstr>
      <vt:lpstr>Number Formatting</vt:lpstr>
      <vt:lpstr>Sheet1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Eeshani Agrawal</dc:creator>
  <cp:lastModifiedBy>Lenovo</cp:lastModifiedBy>
  <dcterms:created xsi:type="dcterms:W3CDTF">2023-11-29T09:47:33Z</dcterms:created>
  <dcterms:modified xsi:type="dcterms:W3CDTF">2025-03-04T18:46:37Z</dcterms:modified>
</cp:coreProperties>
</file>